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BBAI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BBAI 10-K FY2025, filed 03/02/2026)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155164</v>
      </c>
      <c r="C6" s="2" t="n">
        <v>158236</v>
      </c>
      <c r="D6" s="2" t="n">
        <v>127672</v>
      </c>
      <c r="E6" t="inlineStr">
        <is>
          <t>Source: EDGAR</t>
        </is>
      </c>
    </row>
    <row r="7">
      <c r="A7" t="inlineStr">
        <is>
          <t>Cost of Revenue</t>
        </is>
      </c>
      <c r="B7" s="2" t="n">
        <v>114563</v>
      </c>
      <c r="C7" s="2" t="n">
        <v>113016</v>
      </c>
      <c r="D7" s="2" t="n">
        <v>99194</v>
      </c>
      <c r="E7" t="inlineStr">
        <is>
          <t>Source / derived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71057</v>
      </c>
      <c r="C10" s="2" t="n">
        <v>80040</v>
      </c>
      <c r="D10" s="2" t="n">
        <v>95132</v>
      </c>
      <c r="E10" t="inlineStr">
        <is>
          <t>Source: EDGAR</t>
        </is>
      </c>
    </row>
    <row r="11">
      <c r="A11" t="inlineStr">
        <is>
          <t>R&amp;D</t>
        </is>
      </c>
      <c r="B11" s="2" t="n">
        <v>5035</v>
      </c>
      <c r="C11" s="2" t="n">
        <v>10863</v>
      </c>
      <c r="D11" s="2" t="n">
        <v>16752</v>
      </c>
      <c r="E11" t="inlineStr">
        <is>
          <t>Source: EDGAR</t>
        </is>
      </c>
    </row>
    <row r="12">
      <c r="A12" t="inlineStr">
        <is>
          <t>EBIT (Operating Loss)</t>
        </is>
      </c>
      <c r="B12" s="2" t="n">
        <v>-39034</v>
      </c>
      <c r="C12" s="2" t="n">
        <v>-133420</v>
      </c>
      <c r="D12" s="2" t="n">
        <v>-213897</v>
      </c>
      <c r="E12" t="inlineStr">
        <is>
          <t>Source: EDGAR</t>
        </is>
      </c>
    </row>
    <row r="13">
      <c r="A13" t="inlineStr">
        <is>
          <t>D&amp;A</t>
        </is>
      </c>
      <c r="B13" s="2" t="n">
        <v>7901</v>
      </c>
      <c r="C13" s="2" t="n">
        <v>11873</v>
      </c>
      <c r="D13" s="2" t="n">
        <v>15281</v>
      </c>
      <c r="E13" t="inlineStr">
        <is>
          <t>Source: EDGAR Cash Flow</t>
        </is>
      </c>
    </row>
    <row r="14">
      <c r="A14" t="inlineStr">
        <is>
          <t>Stock-Based Comp</t>
        </is>
      </c>
      <c r="B14" s="2" t="n">
        <v>18671</v>
      </c>
      <c r="C14" s="2" t="n">
        <v>21127</v>
      </c>
      <c r="D14" s="2" t="n">
        <v>23330</v>
      </c>
      <c r="E14" t="inlineStr">
        <is>
          <t>Source: EDGAR Cash Flow</t>
        </is>
      </c>
    </row>
    <row r="15">
      <c r="A15" t="inlineStr">
        <is>
          <t>CapEx (PP&amp;E)</t>
        </is>
      </c>
      <c r="B15" s="2" t="n">
        <v>2</v>
      </c>
      <c r="C15" s="2" t="n">
        <v>484</v>
      </c>
      <c r="D15" s="2" t="n">
        <v>525</v>
      </c>
      <c r="E15" t="inlineStr">
        <is>
          <t>Source: EDGAR Cash Flow</t>
        </is>
      </c>
    </row>
    <row r="16">
      <c r="A16" t="inlineStr">
        <is>
          <t>Capitalized Software</t>
        </is>
      </c>
      <c r="B16" s="2" t="n">
        <v>3828</v>
      </c>
      <c r="C16" s="2" t="n">
        <v>10630</v>
      </c>
      <c r="D16" s="2" t="n">
        <v>3841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24877</v>
      </c>
      <c r="C17" s="2" t="n">
        <v>25647</v>
      </c>
      <c r="D17" s="2" t="n">
        <v>18116</v>
      </c>
      <c r="E17" t="inlineStr">
        <is>
          <t>Source: EDGAR</t>
        </is>
      </c>
    </row>
    <row r="18">
      <c r="A18" t="inlineStr">
        <is>
          <t>Interest Income</t>
        </is>
      </c>
      <c r="B18" s="2" t="n">
        <v>392</v>
      </c>
      <c r="C18" s="2" t="n">
        <v>2293</v>
      </c>
      <c r="D18" s="2" t="n">
        <v>13253</v>
      </c>
      <c r="E18" t="inlineStr">
        <is>
          <t>Source: EDGAR</t>
        </is>
      </c>
    </row>
    <row r="19">
      <c r="A19" t="inlineStr">
        <is>
          <t>Net Loss</t>
        </is>
      </c>
      <c r="B19" s="2" t="n">
        <v>-70657</v>
      </c>
      <c r="C19" s="2" t="n">
        <v>-295547</v>
      </c>
      <c r="D19" s="2" t="n">
        <v>-293914</v>
      </c>
      <c r="E19" t="inlineStr">
        <is>
          <t>Source: EDGAR</t>
        </is>
      </c>
    </row>
    <row r="20">
      <c r="A20" t="inlineStr">
        <is>
          <t>Adjusted EBITDA</t>
        </is>
      </c>
      <c r="B20" s="2" t="n"/>
      <c r="C20" s="2" t="n">
        <v>-2397</v>
      </c>
      <c r="D20" s="2" t="n">
        <v>-35140</v>
      </c>
      <c r="E20" t="inlineStr">
        <is>
          <t>Source: BBAI Q4 2025 Press Release</t>
        </is>
      </c>
    </row>
    <row r="22">
      <c r="A22" s="1" t="inlineStr">
        <is>
          <t>A2.  BALANCE SHEET SNAPSHOT  (Source: BBAI 10-K FY2025, filed 03/02/2026)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50141</v>
      </c>
      <c r="C24" s="2" t="n">
        <v>87126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200461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173949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38953</v>
      </c>
      <c r="C28" s="2" t="n">
        <v>22703</v>
      </c>
      <c r="E28" t="inlineStr">
        <is>
          <t>EDGAR AR</t>
        </is>
      </c>
    </row>
    <row r="29">
      <c r="A29" t="inlineStr">
        <is>
          <t>Goodwill</t>
        </is>
      </c>
      <c r="B29" s="2" t="n">
        <v>119081</v>
      </c>
      <c r="C29" s="2" t="n">
        <v>241100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119119</v>
      </c>
      <c r="C30" s="2" t="n">
        <v>139470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200818</v>
      </c>
      <c r="C31" s="2" t="n">
        <v>142273</v>
      </c>
      <c r="E31" t="inlineStr">
        <is>
          <t>EDGAR Debt</t>
        </is>
      </c>
    </row>
    <row r="32">
      <c r="A32" t="inlineStr">
        <is>
          <t>Post-Jan-2026 Debt (2026 Notes Only)</t>
        </is>
      </c>
      <c r="B32" s="2">
        <f>B31</f>
        <v/>
      </c>
      <c r="C32" s="2">
        <f>C31-124605</f>
        <v/>
      </c>
      <c r="E32" t="inlineStr">
        <is>
          <t>Formula: 2029 Notes converted Jan 2026; only 2026 Notes ($17.7M) remain</t>
        </is>
      </c>
    </row>
    <row r="33">
      <c r="A33" t="inlineStr">
        <is>
          <t>Shares Outstanding</t>
        </is>
      </c>
      <c r="B33" s="2" t="n">
        <v>251554378</v>
      </c>
      <c r="C33" s="2" t="n">
        <v>436955655</v>
      </c>
      <c r="E33" t="inlineStr">
        <is>
          <t>EDGAR diluted shares</t>
        </is>
      </c>
    </row>
    <row r="34">
      <c r="A34" t="inlineStr">
        <is>
          <t>Post-Jan-2026 Shares (est.)</t>
        </is>
      </c>
      <c r="B34" s="2">
        <f>B33</f>
        <v/>
      </c>
      <c r="C34" s="2">
        <f>C33+38100000</f>
        <v/>
      </c>
      <c r="E34" t="inlineStr">
        <is>
          <t>Formula: FY25 shares + ~38.1M from 2029 Note conversions</t>
        </is>
      </c>
    </row>
    <row r="35">
      <c r="A35" t="inlineStr">
        <is>
          <t>Federal NOL Carryforward ($K)</t>
        </is>
      </c>
      <c r="C35" s="2" t="n">
        <v>339600</v>
      </c>
      <c r="E35" t="inlineStr">
        <is>
          <t>Source: BBAI 10-K FY2025, p.125 (unlimited carryforward)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0.17</v>
      </c>
      <c r="C40" s="4" t="n">
        <v>0.25</v>
      </c>
      <c r="D40" s="4" t="n">
        <v>0.05</v>
      </c>
      <c r="E40" t="inlineStr">
        <is>
          <t>Mgmt 2026 guide: $135M–$165M (~17% mid)</t>
        </is>
      </c>
    </row>
    <row r="41">
      <c r="A41" t="inlineStr">
        <is>
          <t>FY2027 Revenue Growth Rate</t>
        </is>
      </c>
      <c r="B41" s="4" t="n">
        <v>0.2</v>
      </c>
      <c r="C41" s="4" t="n">
        <v>0.3</v>
      </c>
      <c r="D41" s="4" t="n">
        <v>0.1</v>
      </c>
      <c r="E41" t="inlineStr">
        <is>
          <t>Ask Sage ($229M acquisition) ramp + Middle East expansion</t>
        </is>
      </c>
    </row>
    <row r="42">
      <c r="A42" t="inlineStr">
        <is>
          <t>FY2028 Revenue Growth Rate</t>
        </is>
      </c>
      <c r="B42" s="4" t="n">
        <v>0.22</v>
      </c>
      <c r="C42" s="4" t="n">
        <v>0.3</v>
      </c>
      <c r="D42" s="4" t="n">
        <v>0.12</v>
      </c>
      <c r="E42" t="inlineStr"/>
    </row>
    <row r="43">
      <c r="A43" t="inlineStr">
        <is>
          <t>FY2029 Revenue Growth Rate</t>
        </is>
      </c>
      <c r="B43" s="4" t="n">
        <v>0.25</v>
      </c>
      <c r="C43" s="4" t="n">
        <v>0.3</v>
      </c>
      <c r="D43" s="4" t="n">
        <v>0.15</v>
      </c>
      <c r="E43" t="inlineStr"/>
    </row>
    <row r="44">
      <c r="A44" t="inlineStr">
        <is>
          <t>FY2030 Revenue Growth Rate</t>
        </is>
      </c>
      <c r="B44" s="4" t="n">
        <v>0.22</v>
      </c>
      <c r="C44" s="4" t="n">
        <v>0.28</v>
      </c>
      <c r="D44" s="4" t="n">
        <v>0.12</v>
      </c>
      <c r="E44" t="inlineStr"/>
    </row>
    <row r="45">
      <c r="A45" t="inlineStr">
        <is>
          <t>FY2031–2035 Revenue Growth Rate</t>
        </is>
      </c>
      <c r="B45" s="4" t="n">
        <v>0.18</v>
      </c>
      <c r="C45" s="4" t="n">
        <v>0.22</v>
      </c>
      <c r="D45" s="4" t="n">
        <v>0.1</v>
      </c>
      <c r="E45" t="inlineStr"/>
    </row>
    <row r="46">
      <c r="A46" t="inlineStr">
        <is>
          <t>FY2036–2040 Revenue Growth Rate</t>
        </is>
      </c>
      <c r="B46" s="4" t="n">
        <v>0.12</v>
      </c>
      <c r="C46" s="4" t="n">
        <v>0.15</v>
      </c>
      <c r="D46" s="4" t="n">
        <v>0.07000000000000001</v>
      </c>
      <c r="E46" t="inlineStr"/>
    </row>
    <row r="47">
      <c r="A47" t="inlineStr">
        <is>
          <t>FY2041–2045 Revenue Growth Rate</t>
        </is>
      </c>
      <c r="B47" s="4" t="n">
        <v>0.08</v>
      </c>
      <c r="C47" s="4" t="n">
        <v>0.1</v>
      </c>
      <c r="D47" s="4" t="n">
        <v>0.05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0.24</v>
      </c>
      <c r="C54" s="6" t="n">
        <v>0.27</v>
      </c>
      <c r="D54" s="6" t="n">
        <v>0.21</v>
      </c>
      <c r="E54" t="inlineStr">
        <is>
          <t>Ask Sage SaaS mix improves blended margin; 2025=22.3%</t>
        </is>
      </c>
    </row>
    <row r="55">
      <c r="A55" t="inlineStr">
        <is>
          <t>Gross Margin % — FY2027</t>
        </is>
      </c>
      <c r="B55" s="6" t="n">
        <v>0.27</v>
      </c>
      <c r="C55" s="6" t="n">
        <v>0.31</v>
      </c>
      <c r="D55" s="6" t="n">
        <v>0.23</v>
      </c>
      <c r="E55" t="inlineStr"/>
    </row>
    <row r="56">
      <c r="A56" t="inlineStr">
        <is>
          <t>Gross Margin % — FY2028</t>
        </is>
      </c>
      <c r="B56" s="6" t="n">
        <v>0.3</v>
      </c>
      <c r="C56" s="6" t="n">
        <v>0.34</v>
      </c>
      <c r="D56" s="6" t="n">
        <v>0.25</v>
      </c>
      <c r="E56" t="inlineStr"/>
    </row>
    <row r="57">
      <c r="A57" t="inlineStr">
        <is>
          <t>Gross Margin % — FY2029</t>
        </is>
      </c>
      <c r="B57" s="6" t="n">
        <v>0.33</v>
      </c>
      <c r="C57" s="6" t="n">
        <v>0.37</v>
      </c>
      <c r="D57" s="6" t="n">
        <v>0.27</v>
      </c>
      <c r="E57" t="inlineStr"/>
    </row>
    <row r="58">
      <c r="A58" t="inlineStr">
        <is>
          <t>Gross Margin % — FY2030</t>
        </is>
      </c>
      <c r="B58" s="6" t="n">
        <v>0.35</v>
      </c>
      <c r="C58" s="6" t="n">
        <v>0.4</v>
      </c>
      <c r="D58" s="6" t="n">
        <v>0.29</v>
      </c>
      <c r="E58" t="inlineStr"/>
    </row>
    <row r="59">
      <c r="A59" t="inlineStr">
        <is>
          <t>Gross Margin % — FY2031–35</t>
        </is>
      </c>
      <c r="B59" s="6" t="n">
        <v>0.38</v>
      </c>
      <c r="C59" s="6" t="n">
        <v>0.44</v>
      </c>
      <c r="D59" s="6" t="n">
        <v>0.31</v>
      </c>
      <c r="E59" t="inlineStr"/>
    </row>
    <row r="60">
      <c r="A60" t="inlineStr">
        <is>
          <t>Gross Margin % — FY2036–45</t>
        </is>
      </c>
      <c r="B60" s="6" t="n">
        <v>0.42</v>
      </c>
      <c r="C60" s="6" t="n">
        <v>0.5</v>
      </c>
      <c r="D60" s="6" t="n">
        <v>0.33</v>
      </c>
      <c r="E60" t="inlineStr"/>
    </row>
    <row r="61">
      <c r="A61" t="inlineStr">
        <is>
          <t>SG&amp;A as % Revenue — FY2026</t>
        </is>
      </c>
      <c r="B61" s="6" t="n">
        <v>0.65</v>
      </c>
      <c r="C61" s="6" t="n">
        <v>0.58</v>
      </c>
      <c r="D61" s="6" t="n">
        <v>0.72</v>
      </c>
      <c r="E61" t="inlineStr">
        <is>
          <t>FY2025=75%; assumes sales investment continues</t>
        </is>
      </c>
    </row>
    <row r="62">
      <c r="A62" t="inlineStr">
        <is>
          <t>SG&amp;A as % Revenue — FY2027</t>
        </is>
      </c>
      <c r="B62" s="6" t="n">
        <v>0.55</v>
      </c>
      <c r="C62" s="6" t="n">
        <v>0.48</v>
      </c>
      <c r="D62" s="6" t="n">
        <v>0.65</v>
      </c>
      <c r="E62" t="inlineStr"/>
    </row>
    <row r="63">
      <c r="A63" t="inlineStr">
        <is>
          <t>SG&amp;A as % Revenue — FY2028</t>
        </is>
      </c>
      <c r="B63" s="6" t="n">
        <v>0.48</v>
      </c>
      <c r="C63" s="6" t="n">
        <v>0.4</v>
      </c>
      <c r="D63" s="6" t="n">
        <v>0.58</v>
      </c>
      <c r="E63" t="inlineStr"/>
    </row>
    <row r="64">
      <c r="A64" t="inlineStr">
        <is>
          <t>SG&amp;A as % Revenue — FY2029</t>
        </is>
      </c>
      <c r="B64" s="6" t="n">
        <v>0.42</v>
      </c>
      <c r="C64" s="6" t="n">
        <v>0.34</v>
      </c>
      <c r="D64" s="6" t="n">
        <v>0.52</v>
      </c>
      <c r="E64" t="inlineStr"/>
    </row>
    <row r="65">
      <c r="A65" t="inlineStr">
        <is>
          <t>SG&amp;A as % Revenue — FY2030</t>
        </is>
      </c>
      <c r="B65" s="6" t="n">
        <v>0.38</v>
      </c>
      <c r="C65" s="6" t="n">
        <v>0.3</v>
      </c>
      <c r="D65" s="6" t="n">
        <v>0.47</v>
      </c>
      <c r="E65" t="inlineStr"/>
    </row>
    <row r="66">
      <c r="A66" t="inlineStr">
        <is>
          <t>SG&amp;A as % Revenue — FY2031–35</t>
        </is>
      </c>
      <c r="B66" s="6" t="n">
        <v>0.3</v>
      </c>
      <c r="C66" s="6" t="n">
        <v>0.24</v>
      </c>
      <c r="D66" s="6" t="n">
        <v>0.4</v>
      </c>
      <c r="E66" t="inlineStr"/>
    </row>
    <row r="67">
      <c r="A67" t="inlineStr">
        <is>
          <t>SG&amp;A as % Revenue — FY2036–45</t>
        </is>
      </c>
      <c r="B67" s="6" t="n">
        <v>0.25</v>
      </c>
      <c r="C67" s="6" t="n">
        <v>0.2</v>
      </c>
      <c r="D67" s="6" t="n">
        <v>0.35</v>
      </c>
      <c r="E67" t="inlineStr"/>
    </row>
    <row r="68">
      <c r="A68" t="inlineStr">
        <is>
          <t>R&amp;D as % Revenue — All Years</t>
        </is>
      </c>
      <c r="B68" s="6" t="n">
        <v>0.1</v>
      </c>
      <c r="C68" s="6" t="n">
        <v>0.12</v>
      </c>
      <c r="D68" s="6" t="n">
        <v>0.08</v>
      </c>
      <c r="E68" t="inlineStr">
        <is>
          <t>FY2025=13%; normalizing</t>
        </is>
      </c>
    </row>
    <row r="69">
      <c r="A69" t="inlineStr">
        <is>
          <t>D&amp;A as % Revenue — All Years</t>
        </is>
      </c>
      <c r="B69" s="6" t="n">
        <v>0.1</v>
      </c>
      <c r="C69" s="6" t="n">
        <v>0.09</v>
      </c>
      <c r="D69" s="6" t="n">
        <v>0.11</v>
      </c>
      <c r="E69" t="inlineStr">
        <is>
          <t>FY2025=12%; intangible amort declines</t>
        </is>
      </c>
    </row>
    <row r="70">
      <c r="A70" t="inlineStr">
        <is>
          <t>CapEx as % Revenue — All Years</t>
        </is>
      </c>
      <c r="B70" s="6" t="n">
        <v>0.03</v>
      </c>
      <c r="C70" s="6" t="n">
        <v>0.02</v>
      </c>
      <c r="D70" s="6" t="n">
        <v>0.04</v>
      </c>
      <c r="E70" t="inlineStr">
        <is>
          <t>Asset-light; FY2025 CapEx+CapSW=3.4%</t>
        </is>
      </c>
    </row>
    <row r="71">
      <c r="A71" t="inlineStr">
        <is>
          <t>Stock-Based Comp as % Revenue</t>
        </is>
      </c>
      <c r="B71" s="6" t="n">
        <v>0.1</v>
      </c>
      <c r="C71" s="6" t="n">
        <v>0.09</v>
      </c>
      <c r="D71" s="6" t="n">
        <v>0.12</v>
      </c>
      <c r="E71" t="inlineStr"/>
    </row>
    <row r="72">
      <c r="A72" t="inlineStr">
        <is>
          <t>Change in NWC as % Rev Change</t>
        </is>
      </c>
      <c r="B72" s="6" t="n">
        <v>0.05</v>
      </c>
      <c r="C72" s="6" t="n">
        <v>0.03</v>
      </c>
      <c r="D72" s="6" t="n">
        <v>0.08</v>
      </c>
      <c r="E72" t="inlineStr">
        <is>
          <t>Low NWC intensity for government services</t>
        </is>
      </c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0.02</v>
      </c>
      <c r="E73" t="inlineStr">
        <is>
          <t>$339.6M federal NOL; cash taxes ~0%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April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2.2</v>
      </c>
      <c r="C81" s="7" t="n">
        <v>1.9</v>
      </c>
      <c r="D81" s="7" t="n">
        <v>2.5</v>
      </c>
      <c r="E81" t="inlineStr">
        <is>
          <t>High-beta small-cap defense AI; BBAI goodwill impairment used 12% rate</t>
        </is>
      </c>
    </row>
    <row r="82">
      <c r="A82" t="inlineStr">
        <is>
          <t>Size / Illiquidity Premium</t>
        </is>
      </c>
      <c r="B82" s="6" t="n">
        <v>0.03</v>
      </c>
      <c r="C82" s="6" t="n">
        <v>0.02</v>
      </c>
      <c r="D82" s="6" t="n">
        <v>0.04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0.06</v>
      </c>
      <c r="C84" s="6" t="n">
        <v>0.055</v>
      </c>
      <c r="D84" s="6" t="n">
        <v>0.07000000000000001</v>
      </c>
      <c r="E84" t="inlineStr"/>
    </row>
    <row r="85">
      <c r="A85" t="inlineStr">
        <is>
          <t>Weight of Equity</t>
        </is>
      </c>
      <c r="B85" s="6" t="n">
        <v>0.85</v>
      </c>
      <c r="C85" s="6" t="n">
        <v>0.9</v>
      </c>
      <c r="D85" s="6" t="n">
        <v>0.8</v>
      </c>
      <c r="E85" t="inlineStr"/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</v>
      </c>
      <c r="C92" s="4" t="n">
        <v>0.035</v>
      </c>
      <c r="D92" s="4" t="n">
        <v>0.025</v>
      </c>
      <c r="E92" t="inlineStr">
        <is>
          <t>Must be &lt; WACC; long-run nominal GDP proxy</t>
        </is>
      </c>
    </row>
    <row r="93">
      <c r="A93" t="inlineStr">
        <is>
          <t>Terminal EV/EBITDA Multiple (cross-check)</t>
        </is>
      </c>
      <c r="B93" s="8" t="n">
        <v>15</v>
      </c>
      <c r="C93" s="8" t="n">
        <v>20</v>
      </c>
      <c r="D93" s="8" t="n">
        <v>10</v>
      </c>
      <c r="E93" t="inlineStr">
        <is>
          <t>Comp range</t>
        </is>
      </c>
    </row>
    <row r="94">
      <c r="A94" t="inlineStr">
        <is>
          <t>Terminal EBITDA Margin (for EV/EBITDA check)</t>
        </is>
      </c>
      <c r="B94" s="4" t="n">
        <v>0.2</v>
      </c>
      <c r="C94" s="4" t="n">
        <v>0.26</v>
      </c>
      <c r="D94" s="4" t="n">
        <v>0.14</v>
      </c>
      <c r="E94" t="inlineStr"/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FCF Break-Even</t>
        </is>
      </c>
      <c r="B110" s="9" t="n">
        <v>1.6</v>
      </c>
      <c r="C110" s="3" t="n">
        <v>0.02</v>
      </c>
      <c r="D110" s="3">
        <f>(B79+1.6*B80+0.02)*B85+B84*(1-D74)*B86</f>
        <v/>
      </c>
      <c r="E110" t="inlineStr">
        <is>
          <t>BBAI hits FCF-positive in 2028; ATM ends</t>
        </is>
      </c>
    </row>
    <row r="111">
      <c r="A111" t="inlineStr">
        <is>
          <t>Stage 2 — Proven Platform</t>
        </is>
      </c>
      <c r="B111" s="9" t="n">
        <v>1.3</v>
      </c>
      <c r="C111" s="3" t="n">
        <v>0.01</v>
      </c>
      <c r="D111" s="3">
        <f>(B79+1.3*B80+0.01)*B85+B84*(1-D74)*B86</f>
        <v/>
      </c>
      <c r="E111" t="inlineStr">
        <is>
          <t>ARR growth visible; Ask Sage recurring</t>
        </is>
      </c>
    </row>
    <row r="112">
      <c r="A112" t="inlineStr">
        <is>
          <t>Stage 3 — Re-Rating ($10)</t>
        </is>
      </c>
      <c r="B112" s="9" t="n">
        <v>1</v>
      </c>
      <c r="C112" s="3" t="n">
        <v>0</v>
      </c>
      <c r="D112" s="3">
        <f>(B79+1.0*B80+0.0)*B85+B84*(1-D74)*B86</f>
        <v/>
      </c>
      <c r="E112" t="inlineStr">
        <is>
          <t>Debt-free, profitable 3+ yrs</t>
        </is>
      </c>
    </row>
    <row r="113">
      <c r="A113" t="inlineStr">
        <is>
          <t>Blue Sky — Palantir Comp</t>
        </is>
      </c>
      <c r="B113" s="9" t="n">
        <v>0.85</v>
      </c>
      <c r="C113" s="3" t="n">
        <v>0</v>
      </c>
      <c r="D113" s="3">
        <f>(B79+0.85*B80+0.0)*B85+B84*(1-D74)*B86</f>
        <v/>
      </c>
      <c r="E113" t="inlineStr">
        <is>
          <t>BBAI beta converges to Palantir peers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BBAI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2026-05-26T19:36:06Z</dcterms:created>
  <dcterms:modified xsi:type="dcterms:W3CDTF">2026-05-26T19:36:06Z</dcterms:modified>
</cp:coreProperties>
</file>