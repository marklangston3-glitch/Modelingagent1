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xr:revisionPtr revIDLastSave="0" documentId="8_{84BF0CFA-6B27-A543-B18F-1107101335B5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Assumptions" sheetId="1" r:id="rId1"/>
    <sheet name="DCF Model" sheetId="2" r:id="rId2"/>
    <sheet name="Revenue Bridge" sheetId="3" r:id="rId3"/>
    <sheet name="$10 Re-Rating Scenario" sheetId="4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1" i="4" l="1"/>
  <c r="C240" i="4"/>
  <c r="C239" i="4"/>
  <c r="B83" i="1"/>
  <c r="B86" i="1"/>
  <c r="B87" i="1"/>
  <c r="C238" i="4"/>
  <c r="B233" i="4"/>
  <c r="B235" i="4"/>
  <c r="B238" i="4"/>
  <c r="C237" i="4"/>
  <c r="C236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34" i="1"/>
  <c r="B38" i="4"/>
  <c r="B6" i="4"/>
  <c r="C5" i="4"/>
  <c r="C6" i="4"/>
  <c r="C8" i="4"/>
  <c r="C9" i="4"/>
  <c r="C10" i="4"/>
  <c r="C11" i="4"/>
  <c r="C13" i="4"/>
  <c r="C15" i="4"/>
  <c r="C17" i="4"/>
  <c r="C18" i="4"/>
  <c r="C19" i="4"/>
  <c r="C20" i="4"/>
  <c r="C23" i="4"/>
  <c r="C24" i="4"/>
  <c r="C25" i="4"/>
  <c r="C26" i="4"/>
  <c r="D5" i="4"/>
  <c r="D6" i="4"/>
  <c r="D8" i="4"/>
  <c r="D9" i="4"/>
  <c r="D10" i="4"/>
  <c r="D11" i="4"/>
  <c r="D13" i="4"/>
  <c r="D15" i="4"/>
  <c r="D17" i="4"/>
  <c r="D18" i="4"/>
  <c r="D19" i="4"/>
  <c r="D20" i="4"/>
  <c r="D23" i="4"/>
  <c r="D24" i="4"/>
  <c r="D25" i="4"/>
  <c r="D26" i="4"/>
  <c r="E5" i="4"/>
  <c r="E6" i="4"/>
  <c r="E8" i="4"/>
  <c r="E9" i="4"/>
  <c r="E10" i="4"/>
  <c r="E11" i="4"/>
  <c r="E13" i="4"/>
  <c r="E15" i="4"/>
  <c r="E17" i="4"/>
  <c r="E18" i="4"/>
  <c r="E19" i="4"/>
  <c r="E20" i="4"/>
  <c r="E23" i="4"/>
  <c r="E24" i="4"/>
  <c r="E25" i="4"/>
  <c r="E26" i="4"/>
  <c r="F5" i="4"/>
  <c r="F6" i="4"/>
  <c r="F8" i="4"/>
  <c r="F9" i="4"/>
  <c r="F10" i="4"/>
  <c r="F11" i="4"/>
  <c r="F13" i="4"/>
  <c r="F15" i="4"/>
  <c r="F17" i="4"/>
  <c r="F18" i="4"/>
  <c r="F19" i="4"/>
  <c r="F20" i="4"/>
  <c r="F23" i="4"/>
  <c r="F24" i="4"/>
  <c r="F25" i="4"/>
  <c r="F26" i="4"/>
  <c r="G5" i="4"/>
  <c r="G6" i="4"/>
  <c r="H5" i="4"/>
  <c r="H6" i="4"/>
  <c r="I5" i="4"/>
  <c r="I6" i="4"/>
  <c r="J5" i="4"/>
  <c r="J6" i="4"/>
  <c r="K5" i="4"/>
  <c r="K6" i="4"/>
  <c r="L5" i="4"/>
  <c r="L6" i="4"/>
  <c r="M5" i="4"/>
  <c r="M6" i="4"/>
  <c r="N5" i="4"/>
  <c r="N6" i="4"/>
  <c r="O5" i="4"/>
  <c r="O6" i="4"/>
  <c r="P5" i="4"/>
  <c r="P6" i="4"/>
  <c r="Q5" i="4"/>
  <c r="Q6" i="4"/>
  <c r="R5" i="4"/>
  <c r="R6" i="4"/>
  <c r="S5" i="4"/>
  <c r="S6" i="4"/>
  <c r="T5" i="4"/>
  <c r="T6" i="4"/>
  <c r="U5" i="4"/>
  <c r="U6" i="4"/>
  <c r="V5" i="4"/>
  <c r="V6" i="4"/>
  <c r="V8" i="4"/>
  <c r="V9" i="4"/>
  <c r="V10" i="4"/>
  <c r="V11" i="4"/>
  <c r="V13" i="4"/>
  <c r="V15" i="4"/>
  <c r="V17" i="4"/>
  <c r="V18" i="4"/>
  <c r="V19" i="4"/>
  <c r="V20" i="4"/>
  <c r="V23" i="4"/>
  <c r="V24" i="4"/>
  <c r="V25" i="4"/>
  <c r="V26" i="4"/>
  <c r="U8" i="4"/>
  <c r="U9" i="4"/>
  <c r="U10" i="4"/>
  <c r="U11" i="4"/>
  <c r="U13" i="4"/>
  <c r="U15" i="4"/>
  <c r="U17" i="4"/>
  <c r="U18" i="4"/>
  <c r="U19" i="4"/>
  <c r="U20" i="4"/>
  <c r="U23" i="4"/>
  <c r="U24" i="4"/>
  <c r="U25" i="4"/>
  <c r="U26" i="4"/>
  <c r="T8" i="4"/>
  <c r="T9" i="4"/>
  <c r="T10" i="4"/>
  <c r="T11" i="4"/>
  <c r="T13" i="4"/>
  <c r="T15" i="4"/>
  <c r="T17" i="4"/>
  <c r="T18" i="4"/>
  <c r="T19" i="4"/>
  <c r="T20" i="4"/>
  <c r="T23" i="4"/>
  <c r="T24" i="4"/>
  <c r="T25" i="4"/>
  <c r="T26" i="4"/>
  <c r="S8" i="4"/>
  <c r="S9" i="4"/>
  <c r="S10" i="4"/>
  <c r="S11" i="4"/>
  <c r="S13" i="4"/>
  <c r="S15" i="4"/>
  <c r="S17" i="4"/>
  <c r="S18" i="4"/>
  <c r="S19" i="4"/>
  <c r="S20" i="4"/>
  <c r="S23" i="4"/>
  <c r="S24" i="4"/>
  <c r="S25" i="4"/>
  <c r="S26" i="4"/>
  <c r="R8" i="4"/>
  <c r="R9" i="4"/>
  <c r="R10" i="4"/>
  <c r="R11" i="4"/>
  <c r="R13" i="4"/>
  <c r="R15" i="4"/>
  <c r="R17" i="4"/>
  <c r="R18" i="4"/>
  <c r="R19" i="4"/>
  <c r="R20" i="4"/>
  <c r="R23" i="4"/>
  <c r="R24" i="4"/>
  <c r="R25" i="4"/>
  <c r="R26" i="4"/>
  <c r="Q8" i="4"/>
  <c r="Q9" i="4"/>
  <c r="Q10" i="4"/>
  <c r="Q11" i="4"/>
  <c r="Q13" i="4"/>
  <c r="Q15" i="4"/>
  <c r="Q17" i="4"/>
  <c r="Q18" i="4"/>
  <c r="Q19" i="4"/>
  <c r="Q20" i="4"/>
  <c r="Q23" i="4"/>
  <c r="Q24" i="4"/>
  <c r="Q25" i="4"/>
  <c r="Q26" i="4"/>
  <c r="P8" i="4"/>
  <c r="P9" i="4"/>
  <c r="P10" i="4"/>
  <c r="P11" i="4"/>
  <c r="P13" i="4"/>
  <c r="P15" i="4"/>
  <c r="P17" i="4"/>
  <c r="P18" i="4"/>
  <c r="P19" i="4"/>
  <c r="P20" i="4"/>
  <c r="P23" i="4"/>
  <c r="P24" i="4"/>
  <c r="P25" i="4"/>
  <c r="P26" i="4"/>
  <c r="O8" i="4"/>
  <c r="O9" i="4"/>
  <c r="O10" i="4"/>
  <c r="O11" i="4"/>
  <c r="O13" i="4"/>
  <c r="O15" i="4"/>
  <c r="O17" i="4"/>
  <c r="O18" i="4"/>
  <c r="O19" i="4"/>
  <c r="O20" i="4"/>
  <c r="O23" i="4"/>
  <c r="O24" i="4"/>
  <c r="O25" i="4"/>
  <c r="O26" i="4"/>
  <c r="N8" i="4"/>
  <c r="N9" i="4"/>
  <c r="N10" i="4"/>
  <c r="N11" i="4"/>
  <c r="N13" i="4"/>
  <c r="N15" i="4"/>
  <c r="N17" i="4"/>
  <c r="N18" i="4"/>
  <c r="N19" i="4"/>
  <c r="N20" i="4"/>
  <c r="N23" i="4"/>
  <c r="N24" i="4"/>
  <c r="N25" i="4"/>
  <c r="N26" i="4"/>
  <c r="M8" i="4"/>
  <c r="M9" i="4"/>
  <c r="M10" i="4"/>
  <c r="M11" i="4"/>
  <c r="M13" i="4"/>
  <c r="M15" i="4"/>
  <c r="M17" i="4"/>
  <c r="M18" i="4"/>
  <c r="M19" i="4"/>
  <c r="M20" i="4"/>
  <c r="M23" i="4"/>
  <c r="M24" i="4"/>
  <c r="M25" i="4"/>
  <c r="M26" i="4"/>
  <c r="L8" i="4"/>
  <c r="L9" i="4"/>
  <c r="L10" i="4"/>
  <c r="L11" i="4"/>
  <c r="L13" i="4"/>
  <c r="L15" i="4"/>
  <c r="L17" i="4"/>
  <c r="L18" i="4"/>
  <c r="L19" i="4"/>
  <c r="L20" i="4"/>
  <c r="L23" i="4"/>
  <c r="L24" i="4"/>
  <c r="L25" i="4"/>
  <c r="L26" i="4"/>
  <c r="K8" i="4"/>
  <c r="K9" i="4"/>
  <c r="K10" i="4"/>
  <c r="K11" i="4"/>
  <c r="K13" i="4"/>
  <c r="K15" i="4"/>
  <c r="K17" i="4"/>
  <c r="K18" i="4"/>
  <c r="K19" i="4"/>
  <c r="K20" i="4"/>
  <c r="K23" i="4"/>
  <c r="K24" i="4"/>
  <c r="K25" i="4"/>
  <c r="K26" i="4"/>
  <c r="J8" i="4"/>
  <c r="J9" i="4"/>
  <c r="J10" i="4"/>
  <c r="J11" i="4"/>
  <c r="J13" i="4"/>
  <c r="J15" i="4"/>
  <c r="J17" i="4"/>
  <c r="J18" i="4"/>
  <c r="J19" i="4"/>
  <c r="J20" i="4"/>
  <c r="J23" i="4"/>
  <c r="J24" i="4"/>
  <c r="J25" i="4"/>
  <c r="J26" i="4"/>
  <c r="I8" i="4"/>
  <c r="I9" i="4"/>
  <c r="I10" i="4"/>
  <c r="I11" i="4"/>
  <c r="I13" i="4"/>
  <c r="I15" i="4"/>
  <c r="I17" i="4"/>
  <c r="I18" i="4"/>
  <c r="I19" i="4"/>
  <c r="I20" i="4"/>
  <c r="I23" i="4"/>
  <c r="I24" i="4"/>
  <c r="I25" i="4"/>
  <c r="I26" i="4"/>
  <c r="H8" i="4"/>
  <c r="H9" i="4"/>
  <c r="H10" i="4"/>
  <c r="H11" i="4"/>
  <c r="H13" i="4"/>
  <c r="H15" i="4"/>
  <c r="H17" i="4"/>
  <c r="H18" i="4"/>
  <c r="H19" i="4"/>
  <c r="H20" i="4"/>
  <c r="H23" i="4"/>
  <c r="H24" i="4"/>
  <c r="H25" i="4"/>
  <c r="H26" i="4"/>
  <c r="G8" i="4"/>
  <c r="G9" i="4"/>
  <c r="G10" i="4"/>
  <c r="G11" i="4"/>
  <c r="G13" i="4"/>
  <c r="G15" i="4"/>
  <c r="G17" i="4"/>
  <c r="G18" i="4"/>
  <c r="G19" i="4"/>
  <c r="G20" i="4"/>
  <c r="G23" i="4"/>
  <c r="G24" i="4"/>
  <c r="G25" i="4"/>
  <c r="G26" i="4"/>
  <c r="B27" i="4"/>
  <c r="B29" i="4"/>
  <c r="B30" i="4"/>
  <c r="B31" i="4"/>
  <c r="B34" i="4"/>
  <c r="C27" i="1"/>
  <c r="C32" i="1"/>
  <c r="B35" i="4"/>
  <c r="B36" i="4"/>
  <c r="B37" i="4"/>
  <c r="B39" i="4"/>
  <c r="C52" i="4"/>
  <c r="B54" i="2"/>
  <c r="B6" i="2"/>
  <c r="C5" i="2"/>
  <c r="C6" i="2"/>
  <c r="C8" i="2"/>
  <c r="C9" i="2"/>
  <c r="C10" i="2"/>
  <c r="C11" i="2"/>
  <c r="C12" i="2"/>
  <c r="C13" i="2"/>
  <c r="C14" i="2"/>
  <c r="C16" i="2"/>
  <c r="C17" i="2"/>
  <c r="C19" i="2"/>
  <c r="C20" i="2"/>
  <c r="C21" i="2"/>
  <c r="C22" i="2"/>
  <c r="C23" i="2"/>
  <c r="C24" i="2"/>
  <c r="C25" i="2"/>
  <c r="C28" i="2"/>
  <c r="C29" i="2"/>
  <c r="C30" i="2"/>
  <c r="C31" i="2"/>
  <c r="D5" i="2"/>
  <c r="D6" i="2"/>
  <c r="D8" i="2"/>
  <c r="D9" i="2"/>
  <c r="D10" i="2"/>
  <c r="D11" i="2"/>
  <c r="D12" i="2"/>
  <c r="D13" i="2"/>
  <c r="D14" i="2"/>
  <c r="D16" i="2"/>
  <c r="D17" i="2"/>
  <c r="D19" i="2"/>
  <c r="D20" i="2"/>
  <c r="D21" i="2"/>
  <c r="D22" i="2"/>
  <c r="D23" i="2"/>
  <c r="D24" i="2"/>
  <c r="D25" i="2"/>
  <c r="D28" i="2"/>
  <c r="D29" i="2"/>
  <c r="D30" i="2"/>
  <c r="D31" i="2"/>
  <c r="E5" i="2"/>
  <c r="E6" i="2"/>
  <c r="E8" i="2"/>
  <c r="E9" i="2"/>
  <c r="E10" i="2"/>
  <c r="E11" i="2"/>
  <c r="E12" i="2"/>
  <c r="E13" i="2"/>
  <c r="E14" i="2"/>
  <c r="E16" i="2"/>
  <c r="E17" i="2"/>
  <c r="E19" i="2"/>
  <c r="E20" i="2"/>
  <c r="E21" i="2"/>
  <c r="E22" i="2"/>
  <c r="E23" i="2"/>
  <c r="E24" i="2"/>
  <c r="E25" i="2"/>
  <c r="E28" i="2"/>
  <c r="E29" i="2"/>
  <c r="E30" i="2"/>
  <c r="E31" i="2"/>
  <c r="F5" i="2"/>
  <c r="F6" i="2"/>
  <c r="F8" i="2"/>
  <c r="F9" i="2"/>
  <c r="F10" i="2"/>
  <c r="F11" i="2"/>
  <c r="F12" i="2"/>
  <c r="F13" i="2"/>
  <c r="F14" i="2"/>
  <c r="F16" i="2"/>
  <c r="F17" i="2"/>
  <c r="F19" i="2"/>
  <c r="F20" i="2"/>
  <c r="F21" i="2"/>
  <c r="F22" i="2"/>
  <c r="F23" i="2"/>
  <c r="F24" i="2"/>
  <c r="F25" i="2"/>
  <c r="F28" i="2"/>
  <c r="F29" i="2"/>
  <c r="F30" i="2"/>
  <c r="F31" i="2"/>
  <c r="G5" i="2"/>
  <c r="G6" i="2"/>
  <c r="H5" i="2"/>
  <c r="H6" i="2"/>
  <c r="I5" i="2"/>
  <c r="I6" i="2"/>
  <c r="J5" i="2"/>
  <c r="J6" i="2"/>
  <c r="K5" i="2"/>
  <c r="K6" i="2"/>
  <c r="L5" i="2"/>
  <c r="L6" i="2"/>
  <c r="M5" i="2"/>
  <c r="M6" i="2"/>
  <c r="N5" i="2"/>
  <c r="N6" i="2"/>
  <c r="O5" i="2"/>
  <c r="O6" i="2"/>
  <c r="P5" i="2"/>
  <c r="P6" i="2"/>
  <c r="Q5" i="2"/>
  <c r="Q6" i="2"/>
  <c r="R5" i="2"/>
  <c r="R6" i="2"/>
  <c r="S5" i="2"/>
  <c r="S6" i="2"/>
  <c r="T5" i="2"/>
  <c r="T6" i="2"/>
  <c r="U5" i="2"/>
  <c r="U6" i="2"/>
  <c r="V5" i="2"/>
  <c r="V6" i="2"/>
  <c r="V8" i="2"/>
  <c r="V9" i="2"/>
  <c r="V10" i="2"/>
  <c r="V11" i="2"/>
  <c r="V12" i="2"/>
  <c r="V13" i="2"/>
  <c r="V14" i="2"/>
  <c r="V16" i="2"/>
  <c r="V17" i="2"/>
  <c r="V19" i="2"/>
  <c r="V20" i="2"/>
  <c r="V21" i="2"/>
  <c r="V22" i="2"/>
  <c r="V23" i="2"/>
  <c r="V24" i="2"/>
  <c r="V25" i="2"/>
  <c r="V28" i="2"/>
  <c r="V29" i="2"/>
  <c r="V30" i="2"/>
  <c r="V31" i="2"/>
  <c r="U8" i="2"/>
  <c r="U9" i="2"/>
  <c r="U10" i="2"/>
  <c r="U11" i="2"/>
  <c r="U12" i="2"/>
  <c r="U13" i="2"/>
  <c r="U14" i="2"/>
  <c r="U16" i="2"/>
  <c r="U17" i="2"/>
  <c r="U19" i="2"/>
  <c r="U20" i="2"/>
  <c r="U21" i="2"/>
  <c r="U22" i="2"/>
  <c r="U23" i="2"/>
  <c r="U24" i="2"/>
  <c r="U25" i="2"/>
  <c r="U28" i="2"/>
  <c r="U29" i="2"/>
  <c r="U30" i="2"/>
  <c r="U31" i="2"/>
  <c r="T8" i="2"/>
  <c r="T9" i="2"/>
  <c r="T10" i="2"/>
  <c r="T11" i="2"/>
  <c r="T12" i="2"/>
  <c r="T13" i="2"/>
  <c r="T14" i="2"/>
  <c r="T16" i="2"/>
  <c r="T17" i="2"/>
  <c r="T19" i="2"/>
  <c r="T20" i="2"/>
  <c r="T21" i="2"/>
  <c r="T22" i="2"/>
  <c r="T23" i="2"/>
  <c r="T24" i="2"/>
  <c r="T25" i="2"/>
  <c r="T28" i="2"/>
  <c r="T29" i="2"/>
  <c r="T30" i="2"/>
  <c r="T31" i="2"/>
  <c r="S8" i="2"/>
  <c r="S9" i="2"/>
  <c r="S10" i="2"/>
  <c r="S11" i="2"/>
  <c r="S12" i="2"/>
  <c r="S13" i="2"/>
  <c r="S14" i="2"/>
  <c r="S16" i="2"/>
  <c r="S17" i="2"/>
  <c r="S19" i="2"/>
  <c r="S20" i="2"/>
  <c r="S21" i="2"/>
  <c r="S22" i="2"/>
  <c r="S23" i="2"/>
  <c r="S24" i="2"/>
  <c r="S25" i="2"/>
  <c r="S28" i="2"/>
  <c r="S29" i="2"/>
  <c r="S30" i="2"/>
  <c r="S31" i="2"/>
  <c r="R8" i="2"/>
  <c r="R9" i="2"/>
  <c r="R10" i="2"/>
  <c r="R11" i="2"/>
  <c r="R12" i="2"/>
  <c r="R13" i="2"/>
  <c r="R14" i="2"/>
  <c r="R16" i="2"/>
  <c r="R17" i="2"/>
  <c r="R19" i="2"/>
  <c r="R20" i="2"/>
  <c r="R21" i="2"/>
  <c r="R22" i="2"/>
  <c r="R23" i="2"/>
  <c r="R24" i="2"/>
  <c r="R25" i="2"/>
  <c r="R28" i="2"/>
  <c r="R29" i="2"/>
  <c r="R30" i="2"/>
  <c r="R31" i="2"/>
  <c r="Q8" i="2"/>
  <c r="Q9" i="2"/>
  <c r="Q10" i="2"/>
  <c r="Q11" i="2"/>
  <c r="Q12" i="2"/>
  <c r="Q13" i="2"/>
  <c r="Q14" i="2"/>
  <c r="Q16" i="2"/>
  <c r="Q17" i="2"/>
  <c r="Q19" i="2"/>
  <c r="Q20" i="2"/>
  <c r="Q21" i="2"/>
  <c r="Q22" i="2"/>
  <c r="Q23" i="2"/>
  <c r="Q24" i="2"/>
  <c r="Q25" i="2"/>
  <c r="Q28" i="2"/>
  <c r="Q29" i="2"/>
  <c r="Q30" i="2"/>
  <c r="Q31" i="2"/>
  <c r="P8" i="2"/>
  <c r="P9" i="2"/>
  <c r="P10" i="2"/>
  <c r="P11" i="2"/>
  <c r="P12" i="2"/>
  <c r="P13" i="2"/>
  <c r="P14" i="2"/>
  <c r="P16" i="2"/>
  <c r="P17" i="2"/>
  <c r="P19" i="2"/>
  <c r="P20" i="2"/>
  <c r="P21" i="2"/>
  <c r="P22" i="2"/>
  <c r="P23" i="2"/>
  <c r="P24" i="2"/>
  <c r="P25" i="2"/>
  <c r="P28" i="2"/>
  <c r="P29" i="2"/>
  <c r="P30" i="2"/>
  <c r="P31" i="2"/>
  <c r="O8" i="2"/>
  <c r="O9" i="2"/>
  <c r="O10" i="2"/>
  <c r="O11" i="2"/>
  <c r="O12" i="2"/>
  <c r="O13" i="2"/>
  <c r="O14" i="2"/>
  <c r="O16" i="2"/>
  <c r="O17" i="2"/>
  <c r="O19" i="2"/>
  <c r="O20" i="2"/>
  <c r="O21" i="2"/>
  <c r="O22" i="2"/>
  <c r="O23" i="2"/>
  <c r="O24" i="2"/>
  <c r="O25" i="2"/>
  <c r="O28" i="2"/>
  <c r="O29" i="2"/>
  <c r="O30" i="2"/>
  <c r="O31" i="2"/>
  <c r="N8" i="2"/>
  <c r="N9" i="2"/>
  <c r="N10" i="2"/>
  <c r="N11" i="2"/>
  <c r="N12" i="2"/>
  <c r="N13" i="2"/>
  <c r="N14" i="2"/>
  <c r="N16" i="2"/>
  <c r="N17" i="2"/>
  <c r="N19" i="2"/>
  <c r="N20" i="2"/>
  <c r="N21" i="2"/>
  <c r="N22" i="2"/>
  <c r="N23" i="2"/>
  <c r="N24" i="2"/>
  <c r="N25" i="2"/>
  <c r="N28" i="2"/>
  <c r="N29" i="2"/>
  <c r="N30" i="2"/>
  <c r="N31" i="2"/>
  <c r="M8" i="2"/>
  <c r="M9" i="2"/>
  <c r="M10" i="2"/>
  <c r="M11" i="2"/>
  <c r="M12" i="2"/>
  <c r="M13" i="2"/>
  <c r="M14" i="2"/>
  <c r="M16" i="2"/>
  <c r="M17" i="2"/>
  <c r="M19" i="2"/>
  <c r="M20" i="2"/>
  <c r="M21" i="2"/>
  <c r="M22" i="2"/>
  <c r="M23" i="2"/>
  <c r="M24" i="2"/>
  <c r="M25" i="2"/>
  <c r="M28" i="2"/>
  <c r="M29" i="2"/>
  <c r="M30" i="2"/>
  <c r="M31" i="2"/>
  <c r="L8" i="2"/>
  <c r="L9" i="2"/>
  <c r="L10" i="2"/>
  <c r="L11" i="2"/>
  <c r="L12" i="2"/>
  <c r="L13" i="2"/>
  <c r="L14" i="2"/>
  <c r="L16" i="2"/>
  <c r="L17" i="2"/>
  <c r="L19" i="2"/>
  <c r="L20" i="2"/>
  <c r="L21" i="2"/>
  <c r="L22" i="2"/>
  <c r="L23" i="2"/>
  <c r="L24" i="2"/>
  <c r="L25" i="2"/>
  <c r="L28" i="2"/>
  <c r="L29" i="2"/>
  <c r="L30" i="2"/>
  <c r="L31" i="2"/>
  <c r="K8" i="2"/>
  <c r="K9" i="2"/>
  <c r="K10" i="2"/>
  <c r="K11" i="2"/>
  <c r="K12" i="2"/>
  <c r="K13" i="2"/>
  <c r="K14" i="2"/>
  <c r="K16" i="2"/>
  <c r="K17" i="2"/>
  <c r="K19" i="2"/>
  <c r="K20" i="2"/>
  <c r="K21" i="2"/>
  <c r="K22" i="2"/>
  <c r="K23" i="2"/>
  <c r="K24" i="2"/>
  <c r="K25" i="2"/>
  <c r="K28" i="2"/>
  <c r="K29" i="2"/>
  <c r="K30" i="2"/>
  <c r="K31" i="2"/>
  <c r="J8" i="2"/>
  <c r="J9" i="2"/>
  <c r="J10" i="2"/>
  <c r="J11" i="2"/>
  <c r="J12" i="2"/>
  <c r="J13" i="2"/>
  <c r="J14" i="2"/>
  <c r="J16" i="2"/>
  <c r="J17" i="2"/>
  <c r="J19" i="2"/>
  <c r="J20" i="2"/>
  <c r="J21" i="2"/>
  <c r="J22" i="2"/>
  <c r="J23" i="2"/>
  <c r="J24" i="2"/>
  <c r="J25" i="2"/>
  <c r="J28" i="2"/>
  <c r="J29" i="2"/>
  <c r="J30" i="2"/>
  <c r="J31" i="2"/>
  <c r="I8" i="2"/>
  <c r="I9" i="2"/>
  <c r="I10" i="2"/>
  <c r="I11" i="2"/>
  <c r="I12" i="2"/>
  <c r="I13" i="2"/>
  <c r="I14" i="2"/>
  <c r="I16" i="2"/>
  <c r="I17" i="2"/>
  <c r="I19" i="2"/>
  <c r="I20" i="2"/>
  <c r="I21" i="2"/>
  <c r="I22" i="2"/>
  <c r="I23" i="2"/>
  <c r="I24" i="2"/>
  <c r="I25" i="2"/>
  <c r="I28" i="2"/>
  <c r="I29" i="2"/>
  <c r="I30" i="2"/>
  <c r="I31" i="2"/>
  <c r="H8" i="2"/>
  <c r="H9" i="2"/>
  <c r="H10" i="2"/>
  <c r="H11" i="2"/>
  <c r="H12" i="2"/>
  <c r="H13" i="2"/>
  <c r="H14" i="2"/>
  <c r="H16" i="2"/>
  <c r="H17" i="2"/>
  <c r="H19" i="2"/>
  <c r="H20" i="2"/>
  <c r="H21" i="2"/>
  <c r="H22" i="2"/>
  <c r="H23" i="2"/>
  <c r="H24" i="2"/>
  <c r="H25" i="2"/>
  <c r="H28" i="2"/>
  <c r="H29" i="2"/>
  <c r="H30" i="2"/>
  <c r="H31" i="2"/>
  <c r="G8" i="2"/>
  <c r="G9" i="2"/>
  <c r="G10" i="2"/>
  <c r="G11" i="2"/>
  <c r="G12" i="2"/>
  <c r="G13" i="2"/>
  <c r="G14" i="2"/>
  <c r="G16" i="2"/>
  <c r="G17" i="2"/>
  <c r="G19" i="2"/>
  <c r="G20" i="2"/>
  <c r="G21" i="2"/>
  <c r="G22" i="2"/>
  <c r="G23" i="2"/>
  <c r="G24" i="2"/>
  <c r="G25" i="2"/>
  <c r="G28" i="2"/>
  <c r="G29" i="2"/>
  <c r="G30" i="2"/>
  <c r="G31" i="2"/>
  <c r="B32" i="2"/>
  <c r="B34" i="2"/>
  <c r="B35" i="2"/>
  <c r="B36" i="2"/>
  <c r="B37" i="2"/>
  <c r="B38" i="2"/>
  <c r="B39" i="2"/>
  <c r="B49" i="2"/>
  <c r="B51" i="2"/>
  <c r="B52" i="2"/>
  <c r="B53" i="2"/>
  <c r="B55" i="2"/>
  <c r="B52" i="4"/>
  <c r="C51" i="4"/>
  <c r="B51" i="4"/>
  <c r="C50" i="4"/>
  <c r="B50" i="4"/>
  <c r="C49" i="4"/>
  <c r="B49" i="4"/>
  <c r="C48" i="4"/>
  <c r="B48" i="4"/>
  <c r="C46" i="4"/>
  <c r="B46" i="4"/>
  <c r="C45" i="4"/>
  <c r="B45" i="4"/>
  <c r="C44" i="4"/>
  <c r="B44" i="4"/>
  <c r="C43" i="4"/>
  <c r="B43" i="4"/>
  <c r="B32" i="4"/>
  <c r="W23" i="4"/>
  <c r="B23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8" i="4"/>
  <c r="B9" i="4"/>
  <c r="B10" i="4"/>
  <c r="B11" i="4"/>
  <c r="B13" i="4"/>
  <c r="B15" i="4"/>
  <c r="B17" i="4"/>
  <c r="B18" i="4"/>
  <c r="B19" i="4"/>
  <c r="B20" i="4"/>
  <c r="B21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V26" i="2"/>
  <c r="U17" i="3"/>
  <c r="U26" i="2"/>
  <c r="T17" i="3"/>
  <c r="T26" i="2"/>
  <c r="S17" i="3"/>
  <c r="S26" i="2"/>
  <c r="R17" i="3"/>
  <c r="R26" i="2"/>
  <c r="Q17" i="3"/>
  <c r="Q26" i="2"/>
  <c r="P17" i="3"/>
  <c r="P26" i="2"/>
  <c r="O17" i="3"/>
  <c r="O26" i="2"/>
  <c r="N17" i="3"/>
  <c r="N26" i="2"/>
  <c r="M17" i="3"/>
  <c r="M26" i="2"/>
  <c r="L17" i="3"/>
  <c r="L26" i="2"/>
  <c r="K17" i="3"/>
  <c r="K26" i="2"/>
  <c r="J17" i="3"/>
  <c r="J26" i="2"/>
  <c r="I17" i="3"/>
  <c r="I26" i="2"/>
  <c r="H17" i="3"/>
  <c r="H26" i="2"/>
  <c r="G17" i="3"/>
  <c r="G26" i="2"/>
  <c r="F17" i="3"/>
  <c r="F26" i="2"/>
  <c r="E17" i="3"/>
  <c r="E26" i="2"/>
  <c r="D17" i="3"/>
  <c r="D26" i="2"/>
  <c r="C17" i="3"/>
  <c r="C26" i="2"/>
  <c r="B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V15" i="2"/>
  <c r="U11" i="3"/>
  <c r="U15" i="2"/>
  <c r="T11" i="3"/>
  <c r="T15" i="2"/>
  <c r="S11" i="3"/>
  <c r="S15" i="2"/>
  <c r="R11" i="3"/>
  <c r="R15" i="2"/>
  <c r="Q11" i="3"/>
  <c r="Q15" i="2"/>
  <c r="P11" i="3"/>
  <c r="P15" i="2"/>
  <c r="O11" i="3"/>
  <c r="O15" i="2"/>
  <c r="N11" i="3"/>
  <c r="N15" i="2"/>
  <c r="M11" i="3"/>
  <c r="M15" i="2"/>
  <c r="L11" i="3"/>
  <c r="L15" i="2"/>
  <c r="K11" i="3"/>
  <c r="K15" i="2"/>
  <c r="J11" i="3"/>
  <c r="J15" i="2"/>
  <c r="I11" i="3"/>
  <c r="I15" i="2"/>
  <c r="H11" i="3"/>
  <c r="H15" i="2"/>
  <c r="G11" i="3"/>
  <c r="G15" i="2"/>
  <c r="F11" i="3"/>
  <c r="F15" i="2"/>
  <c r="E11" i="3"/>
  <c r="E15" i="2"/>
  <c r="D11" i="3"/>
  <c r="D15" i="2"/>
  <c r="C11" i="3"/>
  <c r="C15" i="2"/>
  <c r="B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D102" i="2"/>
  <c r="D122" i="2"/>
  <c r="D83" i="1"/>
  <c r="D86" i="1"/>
  <c r="D87" i="1"/>
  <c r="D142" i="2"/>
  <c r="D103" i="2"/>
  <c r="D123" i="2"/>
  <c r="D143" i="2"/>
  <c r="D104" i="2"/>
  <c r="D124" i="2"/>
  <c r="D144" i="2"/>
  <c r="D105" i="2"/>
  <c r="D125" i="2"/>
  <c r="D14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41" i="2"/>
  <c r="D161" i="2"/>
  <c r="D140" i="2"/>
  <c r="D160" i="2"/>
  <c r="D139" i="2"/>
  <c r="D159" i="2"/>
  <c r="D138" i="2"/>
  <c r="D158" i="2"/>
  <c r="D137" i="2"/>
  <c r="D157" i="2"/>
  <c r="D136" i="2"/>
  <c r="D156" i="2"/>
  <c r="D135" i="2"/>
  <c r="D155" i="2"/>
  <c r="D134" i="2"/>
  <c r="D154" i="2"/>
  <c r="D133" i="2"/>
  <c r="D153" i="2"/>
  <c r="D132" i="2"/>
  <c r="D152" i="2"/>
  <c r="D131" i="2"/>
  <c r="D151" i="2"/>
  <c r="D130" i="2"/>
  <c r="D150" i="2"/>
  <c r="D129" i="2"/>
  <c r="D149" i="2"/>
  <c r="D128" i="2"/>
  <c r="D148" i="2"/>
  <c r="D127" i="2"/>
  <c r="D147" i="2"/>
  <c r="D126" i="2"/>
  <c r="D146" i="2"/>
  <c r="D162" i="2"/>
  <c r="D163" i="2"/>
  <c r="D164" i="2"/>
  <c r="D165" i="2"/>
  <c r="D166" i="2"/>
  <c r="D167" i="2"/>
  <c r="C102" i="2"/>
  <c r="C122" i="2"/>
  <c r="C83" i="1"/>
  <c r="C86" i="1"/>
  <c r="C87" i="1"/>
  <c r="C142" i="2"/>
  <c r="C103" i="2"/>
  <c r="C123" i="2"/>
  <c r="C143" i="2"/>
  <c r="C104" i="2"/>
  <c r="C124" i="2"/>
  <c r="C144" i="2"/>
  <c r="C105" i="2"/>
  <c r="C125" i="2"/>
  <c r="C14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41" i="2"/>
  <c r="C161" i="2"/>
  <c r="C140" i="2"/>
  <c r="C160" i="2"/>
  <c r="C139" i="2"/>
  <c r="C159" i="2"/>
  <c r="C138" i="2"/>
  <c r="C158" i="2"/>
  <c r="C137" i="2"/>
  <c r="C157" i="2"/>
  <c r="C136" i="2"/>
  <c r="C156" i="2"/>
  <c r="C135" i="2"/>
  <c r="C155" i="2"/>
  <c r="C134" i="2"/>
  <c r="C154" i="2"/>
  <c r="C133" i="2"/>
  <c r="C153" i="2"/>
  <c r="C132" i="2"/>
  <c r="C152" i="2"/>
  <c r="C131" i="2"/>
  <c r="C151" i="2"/>
  <c r="C130" i="2"/>
  <c r="C150" i="2"/>
  <c r="C129" i="2"/>
  <c r="C149" i="2"/>
  <c r="C128" i="2"/>
  <c r="C148" i="2"/>
  <c r="C127" i="2"/>
  <c r="C147" i="2"/>
  <c r="C126" i="2"/>
  <c r="C146" i="2"/>
  <c r="C162" i="2"/>
  <c r="C163" i="2"/>
  <c r="C164" i="2"/>
  <c r="C165" i="2"/>
  <c r="C166" i="2"/>
  <c r="C167" i="2"/>
  <c r="B102" i="2"/>
  <c r="B122" i="2"/>
  <c r="B142" i="2"/>
  <c r="B103" i="2"/>
  <c r="B123" i="2"/>
  <c r="B143" i="2"/>
  <c r="B104" i="2"/>
  <c r="B124" i="2"/>
  <c r="B144" i="2"/>
  <c r="B105" i="2"/>
  <c r="B125" i="2"/>
  <c r="B14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41" i="2"/>
  <c r="B161" i="2"/>
  <c r="B140" i="2"/>
  <c r="B160" i="2"/>
  <c r="B139" i="2"/>
  <c r="B159" i="2"/>
  <c r="B138" i="2"/>
  <c r="B158" i="2"/>
  <c r="B137" i="2"/>
  <c r="B157" i="2"/>
  <c r="B136" i="2"/>
  <c r="B156" i="2"/>
  <c r="B135" i="2"/>
  <c r="B155" i="2"/>
  <c r="B134" i="2"/>
  <c r="B154" i="2"/>
  <c r="B133" i="2"/>
  <c r="B153" i="2"/>
  <c r="B132" i="2"/>
  <c r="B152" i="2"/>
  <c r="B131" i="2"/>
  <c r="B151" i="2"/>
  <c r="B130" i="2"/>
  <c r="B150" i="2"/>
  <c r="B129" i="2"/>
  <c r="B149" i="2"/>
  <c r="B128" i="2"/>
  <c r="B148" i="2"/>
  <c r="B127" i="2"/>
  <c r="B147" i="2"/>
  <c r="B126" i="2"/>
  <c r="B146" i="2"/>
  <c r="B162" i="2"/>
  <c r="B163" i="2"/>
  <c r="B164" i="2"/>
  <c r="B165" i="2"/>
  <c r="B166" i="2"/>
  <c r="B167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B42" i="2"/>
  <c r="B43" i="2"/>
  <c r="B44" i="2"/>
  <c r="B45" i="2"/>
  <c r="B46" i="2"/>
  <c r="B47" i="2"/>
  <c r="B50" i="2"/>
  <c r="B40" i="2"/>
  <c r="B28" i="2"/>
  <c r="B14" i="2"/>
  <c r="B16" i="2"/>
  <c r="B17" i="2"/>
  <c r="B20" i="2"/>
  <c r="B22" i="2"/>
  <c r="B24" i="2"/>
  <c r="B25" i="2"/>
  <c r="B26" i="2"/>
  <c r="B23" i="2"/>
  <c r="B21" i="2"/>
  <c r="B19" i="2"/>
  <c r="B15" i="2"/>
  <c r="B13" i="2"/>
  <c r="B12" i="2"/>
  <c r="B11" i="2"/>
  <c r="B10" i="2"/>
  <c r="D8" i="1"/>
  <c r="B9" i="2"/>
  <c r="D9" i="1"/>
  <c r="B8" i="2"/>
  <c r="A2" i="2"/>
  <c r="D113" i="1"/>
  <c r="D112" i="1"/>
  <c r="D111" i="1"/>
  <c r="D110" i="1"/>
  <c r="D109" i="1"/>
  <c r="C109" i="1"/>
  <c r="B109" i="1"/>
  <c r="B105" i="1"/>
  <c r="D104" i="1"/>
  <c r="B104" i="1"/>
  <c r="D103" i="1"/>
  <c r="B103" i="1"/>
  <c r="D102" i="1"/>
  <c r="B102" i="1"/>
  <c r="D101" i="1"/>
  <c r="B101" i="1"/>
  <c r="D100" i="1"/>
  <c r="B100" i="1"/>
  <c r="D99" i="1"/>
  <c r="B99" i="1"/>
  <c r="B27" i="1"/>
  <c r="C8" i="1"/>
  <c r="C9" i="1"/>
  <c r="B8" i="1"/>
  <c r="B9" i="1"/>
</calcChain>
</file>

<file path=xl/sharedStrings.xml><?xml version="1.0" encoding="utf-8"?>
<sst xmlns="http://schemas.openxmlformats.org/spreadsheetml/2006/main" count="628" uniqueCount="491">
  <si>
    <t>BBAI — DCF Model Assumptions</t>
  </si>
  <si>
    <t>All dollar inputs in $thousands  |  Blue = input  |  Black = formula  |  Yellow = key assumption</t>
  </si>
  <si>
    <t>A.  HISTORICAL FINANCIAL DATA  (Source: BBAI 10-K FY2025, filed 03/02/2026)</t>
  </si>
  <si>
    <t>Line Item</t>
  </si>
  <si>
    <t>FY2023</t>
  </si>
  <si>
    <t>FY2024</t>
  </si>
  <si>
    <t>FY2025</t>
  </si>
  <si>
    <t>Notes</t>
  </si>
  <si>
    <t>Revenue</t>
  </si>
  <si>
    <t>Source: BBAI 10-K FY2025, p.94</t>
  </si>
  <si>
    <t>Cost of Revenue</t>
  </si>
  <si>
    <t>Gross Profit</t>
  </si>
  <si>
    <t>Formula: Revenue - CoR</t>
  </si>
  <si>
    <t>Gross Margin %</t>
  </si>
  <si>
    <t>Formula</t>
  </si>
  <si>
    <t>SG&amp;A</t>
  </si>
  <si>
    <t>R&amp;D</t>
  </si>
  <si>
    <t>EBIT (Operating Loss)</t>
  </si>
  <si>
    <t>D&amp;A</t>
  </si>
  <si>
    <t>Source: BBAI 10-K FY2025 Cash Flow, p.97</t>
  </si>
  <si>
    <t>Stock-Based Comp</t>
  </si>
  <si>
    <t>CapEx (PP&amp;E)</t>
  </si>
  <si>
    <t>Capitalized Software</t>
  </si>
  <si>
    <t>Interest Expense</t>
  </si>
  <si>
    <t>Interest Income</t>
  </si>
  <si>
    <t>Net Loss</t>
  </si>
  <si>
    <t>Adjusted EBITDA</t>
  </si>
  <si>
    <t>Source: BBAI Q4 2025 Press Release</t>
  </si>
  <si>
    <t>A2.  BALANCE SHEET SNAPSHOT  (Source: BBAI 10-K FY2025, p.93)</t>
  </si>
  <si>
    <t>Cash &amp; Equivalents</t>
  </si>
  <si>
    <t>Source: BBAI 10-K FY2025, p.93</t>
  </si>
  <si>
    <t>AFS Investments (Current)</t>
  </si>
  <si>
    <t>AFS Investments (Non-Current)</t>
  </si>
  <si>
    <t>Total Liquidity</t>
  </si>
  <si>
    <t>Formula: Cash + AFS Current + AFS Non-Current</t>
  </si>
  <si>
    <t>Accounts Receivable</t>
  </si>
  <si>
    <t>Goodwill</t>
  </si>
  <si>
    <t>Intangibles, net</t>
  </si>
  <si>
    <t>Total Debt (Gross Principal)</t>
  </si>
  <si>
    <t>Source: BBAI 10-K FY2025, p.119  (2026 Notes $17,668 + 2029 Notes $124,605)</t>
  </si>
  <si>
    <t>Post-Jan-2026 Debt (2026 Notes Only)</t>
  </si>
  <si>
    <t>Formula: 2029 Notes converted Jan 2026; only 2026 Notes ($17.7M) remain</t>
  </si>
  <si>
    <t>Shares Outstanding</t>
  </si>
  <si>
    <t>Post-Jan-2026 Shares (est.)</t>
  </si>
  <si>
    <t>Formula: FY25 shares + ~38.1M from 2029 Note conversions</t>
  </si>
  <si>
    <t>Federal NOL Carryforward</t>
  </si>
  <si>
    <t>Source: BBAI 10-K FY2025, p.125  (unlimited carryforward)</t>
  </si>
  <si>
    <t>B.  REVENUE GROWTH ASSUMPTIONS  (Yellow = key input to change per scenario)</t>
  </si>
  <si>
    <t>Assumption</t>
  </si>
  <si>
    <t>Base Case</t>
  </si>
  <si>
    <t>Bull Case</t>
  </si>
  <si>
    <t>Bear Case</t>
  </si>
  <si>
    <t>FY2026 Revenue Growth Rate</t>
  </si>
  <si>
    <t>Mgmt 2026 guide: $135M–$165M (~17% mid); Source: BBAI Q4 2025 Press Release</t>
  </si>
  <si>
    <t>FY2027 Revenue Growth Rate</t>
  </si>
  <si>
    <t>Ask Sage ($229M acquisition) ramp + Middle East expansion</t>
  </si>
  <si>
    <t>FY2028 Revenue Growth Rate</t>
  </si>
  <si>
    <t>Platform scaling; defense AI budget acceleration</t>
  </si>
  <si>
    <t>FY2029 Revenue Growth Rate</t>
  </si>
  <si>
    <t>Continued DOGE-resilient contract wins</t>
  </si>
  <si>
    <t>FY2030 Revenue Growth Rate</t>
  </si>
  <si>
    <t>TAM penetration in national security + travel/trade</t>
  </si>
  <si>
    <t>FY2031–2035 Revenue CAGR</t>
  </si>
  <si>
    <t>Maturing platform; government AI spend normalization</t>
  </si>
  <si>
    <t>FY2036–2040 Revenue CAGR</t>
  </si>
  <si>
    <t>Moderate growth as revenue base grows larger</t>
  </si>
  <si>
    <t>FY2041–2045 Revenue CAGR</t>
  </si>
  <si>
    <t>Terminal approach; conservative late-stage growth</t>
  </si>
  <si>
    <t>ACTIVE SCENARIO → Enter 1 = Base Case  |  2 = Bull Case  |  3 = Bear Case</t>
  </si>
  <si>
    <t>Active Scenario (1/2/3)</t>
  </si>
  <si>
    <t>Change this cell to switch scenarios on DCF sheet. 1=Base, 2=Bull, 3=Bear</t>
  </si>
  <si>
    <t>C.  MARGIN &amp; COST ASSUMPTIONS</t>
  </si>
  <si>
    <t>Gross Margin % — FY2026</t>
  </si>
  <si>
    <t>Ask Sage SaaS mix improves blended margin; 2025 = 22.3%</t>
  </si>
  <si>
    <t>Gross Margin % — FY2027</t>
  </si>
  <si>
    <t>Platform leverage</t>
  </si>
  <si>
    <t>Gross Margin % — FY2028</t>
  </si>
  <si>
    <t>Continued SaaS shift</t>
  </si>
  <si>
    <t>Gross Margin % — FY2029</t>
  </si>
  <si>
    <t>Scale economies</t>
  </si>
  <si>
    <t>Gross Margin % — FY2030</t>
  </si>
  <si>
    <t>Mature platform mix</t>
  </si>
  <si>
    <t>Gross Margin % — FY2031–35</t>
  </si>
  <si>
    <t>Long-run target; peer software comps ~40–55%</t>
  </si>
  <si>
    <t>Gross Margin % — FY2036–45</t>
  </si>
  <si>
    <t>Terminal gross margin</t>
  </si>
  <si>
    <t>SG&amp;A as % Revenue — FY2026</t>
  </si>
  <si>
    <t>FY2025 = 75%; assumes sales investment continues</t>
  </si>
  <si>
    <t>SG&amp;A as % Revenue — FY2027</t>
  </si>
  <si>
    <t>Operating leverage begins</t>
  </si>
  <si>
    <t>SG&amp;A as % Revenue — FY2028</t>
  </si>
  <si>
    <t>SG&amp;A as % Revenue — FY2029</t>
  </si>
  <si>
    <t>SG&amp;A as % Revenue — FY2030</t>
  </si>
  <si>
    <t>SG&amp;A as % Revenue — FY2031–35</t>
  </si>
  <si>
    <t>Maturing cost structure</t>
  </si>
  <si>
    <t>SG&amp;A as % Revenue — FY2036–45</t>
  </si>
  <si>
    <t>Terminal SG&amp;A</t>
  </si>
  <si>
    <t>R&amp;D as % Revenue — All Years</t>
  </si>
  <si>
    <t>FY2025 = 13%; normalizing</t>
  </si>
  <si>
    <t>D&amp;A as % Revenue — All Years</t>
  </si>
  <si>
    <t>FY2025 = 12%; intangible amort declines</t>
  </si>
  <si>
    <t>CapEx as % Revenue — All Years</t>
  </si>
  <si>
    <t>Asset-light; FY2025 CapEx+CapSW = $4.4M = 3.4%</t>
  </si>
  <si>
    <t>Stock-Based Comp as % Revenue</t>
  </si>
  <si>
    <t>FY2025 = 18%; expected normalization</t>
  </si>
  <si>
    <t>Change in NWC as % Rev Change</t>
  </si>
  <si>
    <t>Low NWC intensity for government services</t>
  </si>
  <si>
    <t>Tax Rate (Cash)</t>
  </si>
  <si>
    <t>$339.6M federal NOL; cash taxes ~0% for 8–10 years</t>
  </si>
  <si>
    <t>Tax Rate (Terminal / WACC)</t>
  </si>
  <si>
    <t>US statutory rate; used in NOPAT &amp; WACC Kd</t>
  </si>
  <si>
    <t>D.  WACC ASSUMPTIONS</t>
  </si>
  <si>
    <t>Risk-Free Rate</t>
  </si>
  <si>
    <t>10-yr US Treasury; as of model date April 2026</t>
  </si>
  <si>
    <t>Equity Risk Premium</t>
  </si>
  <si>
    <t>Damodaran US ERP estimate</t>
  </si>
  <si>
    <t>Beta (Levered)</t>
  </si>
  <si>
    <t>High-beta small-cap defense AI; BBAI goodwill impairment used 12% rate</t>
  </si>
  <si>
    <t>Size / Illiquidity Premium</t>
  </si>
  <si>
    <t>Small-cap micro-cap premium</t>
  </si>
  <si>
    <t>Cost of Equity</t>
  </si>
  <si>
    <t>Formula: Rf + Beta*ERP + Size Premium</t>
  </si>
  <si>
    <t>Pre-Tax Cost of Debt</t>
  </si>
  <si>
    <t>2026 Notes coupon = 6%; post-2029 Notes settlement</t>
  </si>
  <si>
    <t>Weight of Equity</t>
  </si>
  <si>
    <t>Post-debt-settlement capital structure</t>
  </si>
  <si>
    <t>Weight of Debt</t>
  </si>
  <si>
    <t>Formula: 1 - Weight of Equity</t>
  </si>
  <si>
    <t>WACC</t>
  </si>
  <si>
    <t>Formula: Ke*We + Kd*(1-t)*Wd</t>
  </si>
  <si>
    <t>E.  TERMINAL VALUE ASSUMPTIONS</t>
  </si>
  <si>
    <t>Terminal Growth Rate (Gordon Growth)</t>
  </si>
  <si>
    <t>Must be &lt; WACC; long-run nominal GDP proxy</t>
  </si>
  <si>
    <t>Terminal EV/EBITDA Multiple (cross-check)</t>
  </si>
  <si>
    <t>Defense-AI software comp range; cross-check only</t>
  </si>
  <si>
    <t>Terminal EBITDA Margin (for EV/EBITDA check)</t>
  </si>
  <si>
    <t>Long-run Adj. EBITDA margin target</t>
  </si>
  <si>
    <t>F.  WACC DECOMPOSITION — Why WACC is high &amp; the two levers to lower it</t>
  </si>
  <si>
    <t>Component</t>
  </si>
  <si>
    <t>Current Value</t>
  </si>
  <si>
    <t>Source / Formula</t>
  </si>
  <si>
    <t>Contribution to WACC</t>
  </si>
  <si>
    <t>How to Lower It</t>
  </si>
  <si>
    <t>Risk-Free Rate (Rf)</t>
  </si>
  <si>
    <t>Rf × We</t>
  </si>
  <si>
    <t>Falls automatically if rates cut — not controllable</t>
  </si>
  <si>
    <t>Equity Risk Premium (ERP)</t>
  </si>
  <si>
    <t>Damodaran ERP</t>
  </si>
  <si>
    <t>Market-wide; not controllable</t>
  </si>
  <si>
    <t>Beta  ← #1 LEVER</t>
  </si>
  <si>
    <t>Currently 2.2</t>
  </si>
  <si>
    <t>Cut to 1.0-1.3 once FCF-positive, debt-free, revenue diversified</t>
  </si>
  <si>
    <t>Size/Illiquidity Premium ← #2</t>
  </si>
  <si>
    <t>Currently 3%</t>
  </si>
  <si>
    <t>Drops to 0% once market cap &gt;$2B consistently</t>
  </si>
  <si>
    <t>Cost of Equity (Ke)</t>
  </si>
  <si>
    <t>Rf + Beta x ERP + Size</t>
  </si>
  <si>
    <t>Currently 19.4% — driven entirely by Beta and Size Premium</t>
  </si>
  <si>
    <t>Cost of Debt (Kd after-tax)</t>
  </si>
  <si>
    <t>2026 Notes 6%</t>
  </si>
  <si>
    <t>Minor — only 15% weight and retiring soon</t>
  </si>
  <si>
    <t>WACC  (Ke×We + Kd×(1-t)×Wd)</t>
  </si>
  <si>
    <t>Formula result</t>
  </si>
  <si>
    <t>PRIMARY: Lower Beta from 2.2→1.0 saves ~5.5pp; Remove size premium saves ~2.6pp</t>
  </si>
  <si>
    <t>WACC COMPRESSION ROADMAP — Change Beta (row 81) and Size Premium (row 82) to model each stage</t>
  </si>
  <si>
    <t>Stage</t>
  </si>
  <si>
    <t>Beta</t>
  </si>
  <si>
    <t>Size Premium</t>
  </si>
  <si>
    <t>Implied WACC</t>
  </si>
  <si>
    <t>Trigger / Condition</t>
  </si>
  <si>
    <t>Current Base Case</t>
  </si>
  <si>
    <t>Pre-profit, ATM dilution, concentrated revenue</t>
  </si>
  <si>
    <t>Stage 1 — FCF Break-Even</t>
  </si>
  <si>
    <t>BBAI hits FCF-positive in 2028; ATM program ends</t>
  </si>
  <si>
    <t>Stage 2 — Proven Platform</t>
  </si>
  <si>
    <t>ARR growth visible; Ask Sage recurring revenue scaling</t>
  </si>
  <si>
    <t>Stage 3 — Re-Rating ($10)</t>
  </si>
  <si>
    <t>Debt-free, profitable 3+ yrs, defense-AI category leader</t>
  </si>
  <si>
    <t>Blue Sky — Palantir Comp</t>
  </si>
  <si>
    <t>Palantir-level brand/moat; BBAI beta converges to peers</t>
  </si>
  <si>
    <t>BBAI — 20-Year Unlevered Free Cash Flow DCF Model</t>
  </si>
  <si>
    <t>Year</t>
  </si>
  <si>
    <t>FY2025
(Actual)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</si>
  <si>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</si>
  <si>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</si>
  <si>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</si>
  <si>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</si>
  <si>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</si>
  <si>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</si>
  <si>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</si>
  <si>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</si>
  <si>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</si>
  <si>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</si>
  <si>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</si>
  <si>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</si>
  <si>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</si>
  <si>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</si>
  <si>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</si>
  <si>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</si>
  <si>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</si>
  <si>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</si>
  <si>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</si>
  <si>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</si>
  <si>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A.  REVENUE PROJECTION</t>
  </si>
  <si>
    <t>Revenue Growth Rate (Active Scenario)</t>
  </si>
  <si>
    <t>—</t>
  </si>
  <si>
    <t>Revenue ($000s)</t>
  </si>
  <si>
    <t>B.  INCOME STATEMENT PROJECTION</t>
  </si>
  <si>
    <t xml:space="preserve">   Gross Margin %</t>
  </si>
  <si>
    <t xml:space="preserve">   Gross Profit ($000s)</t>
  </si>
  <si>
    <t xml:space="preserve">   SG&amp;A as % Revenue</t>
  </si>
  <si>
    <t xml:space="preserve">   SG&amp;A ($000s)</t>
  </si>
  <si>
    <t xml:space="preserve">   R&amp;D as % Revenue</t>
  </si>
  <si>
    <t xml:space="preserve">   R&amp;D ($000s)</t>
  </si>
  <si>
    <t>EBIT ($000s)</t>
  </si>
  <si>
    <t xml:space="preserve">   EBIT Margin %</t>
  </si>
  <si>
    <t xml:space="preserve">   Cash Tax Rate (Active Scenario)</t>
  </si>
  <si>
    <t>NOPAT = EBIT × (1 − Tax Rate) ($000s)</t>
  </si>
  <si>
    <t>C.  UNLEVERED FREE CASH FLOW BUILD</t>
  </si>
  <si>
    <t xml:space="preserve">   D&amp;A as % Revenue</t>
  </si>
  <si>
    <t xml:space="preserve">   (+) D&amp;A ($000s)</t>
  </si>
  <si>
    <t xml:space="preserve">   CapEx as % Revenue</t>
  </si>
  <si>
    <t xml:space="preserve">   (−) CapEx + Capitalized Software ($000s)</t>
  </si>
  <si>
    <t xml:space="preserve">   Δ NWC as % Revenue Change</t>
  </si>
  <si>
    <t xml:space="preserve">   (−) Change in NWC ($000s)</t>
  </si>
  <si>
    <t>UNLEVERED FCF ($000s)</t>
  </si>
  <si>
    <t xml:space="preserve">   UFCF Margin %</t>
  </si>
  <si>
    <t>D.  DISCOUNTING  (Mid-Year Convention)</t>
  </si>
  <si>
    <t>WACC (Active Scenario)</t>
  </si>
  <si>
    <t xml:space="preserve">   Discount Period (Mid-Year)</t>
  </si>
  <si>
    <t xml:space="preserve">   Discount Factor</t>
  </si>
  <si>
    <t xml:space="preserve">   PV of UFCF ($000s)</t>
  </si>
  <si>
    <t>Sum of PV (UFCF) — Years 1–20 ($000s)</t>
  </si>
  <si>
    <t>E.  TERMINAL VALUE  (Gordon Growth Model — Primary)</t>
  </si>
  <si>
    <t xml:space="preserve">   Year 20 UFCF ($000s)</t>
  </si>
  <si>
    <t xml:space="preserve">   Terminal Growth Rate (Active Scenario)</t>
  </si>
  <si>
    <t xml:space="preserve">   WACC (Active Scenario)</t>
  </si>
  <si>
    <t>Terminal Value (undiscounted) ($000s)</t>
  </si>
  <si>
    <t xml:space="preserve">   Terminal Value Discount Factor (Year 20)</t>
  </si>
  <si>
    <t>PV of Terminal Value ($000s)</t>
  </si>
  <si>
    <t xml:space="preserve">   Terminal Value as % of Total Enterprise Value</t>
  </si>
  <si>
    <t>Terminal Value Cross-Check: EV/EBITDA Exit Multiple</t>
  </si>
  <si>
    <t xml:space="preserve">   Year 20 Revenue ($000s)</t>
  </si>
  <si>
    <t xml:space="preserve">   Terminal EBITDA Margin (Active Scenario)</t>
  </si>
  <si>
    <t xml:space="preserve">   Implied Year 20 EBITDA ($000s)</t>
  </si>
  <si>
    <t xml:space="preserve">   Exit EV/EBITDA Multiple (Active Scenario)</t>
  </si>
  <si>
    <t xml:space="preserve">   Terminal Value — EV/EBITDA Method (undiscounted) ($000s)</t>
  </si>
  <si>
    <t xml:space="preserve">   PV of Terminal Value — EV/EBITDA Method ($000s)</t>
  </si>
  <si>
    <t>F.  ENTERPRISE VALUE  →  EQUITY VALUE  →  IMPLIED SHARE PRICE</t>
  </si>
  <si>
    <t>Enterprise Value — Gordon Growth ($000s)</t>
  </si>
  <si>
    <t xml:space="preserve">   Enterprise Value — EV/EBITDA Cross-Check ($000s)</t>
  </si>
  <si>
    <t xml:space="preserve">   (−) Net Debt (Post-Jan-2026 Debt − Total Liquidity) ($000s)</t>
  </si>
  <si>
    <t>If liquidity &gt; debt, BBAI is net cash — add back in equity bridge</t>
  </si>
  <si>
    <t xml:space="preserve">   (+) Net Cash (if Liquidity &gt; Debt) ($000s)</t>
  </si>
  <si>
    <t>Equity Value — Gordon Growth ($000s)</t>
  </si>
  <si>
    <t xml:space="preserve">   Diluted Shares Outstanding (Post-Jan-2026)</t>
  </si>
  <si>
    <t>IMPLIED SHARE PRICE ($)</t>
  </si>
  <si>
    <t>G.  SCENARIO SUMMARY  (Run each scenario by changing Active Scenario on Assumptions sheet)</t>
  </si>
  <si>
    <t>Metric</t>
  </si>
  <si>
    <t>Base Case
(Scenario 1)</t>
  </si>
  <si>
    <t>Bull Case
(Scenario 2)</t>
  </si>
  <si>
    <t>Bear Case
(Scenario 3)</t>
  </si>
  <si>
    <t>FY2026E Revenue ($000s)</t>
  </si>
  <si>
    <t>FY2026E Revenue Growth %</t>
  </si>
  <si>
    <t>FY2030E Revenue ($000s)</t>
  </si>
  <si>
    <t>FY2045E Revenue ($000s)</t>
  </si>
  <si>
    <t>FY2026E Gross Margin %</t>
  </si>
  <si>
    <t>FY2026E EBIT ($000s)</t>
  </si>
  <si>
    <t>Terminal Growth Rate</t>
  </si>
  <si>
    <t>Sum PV of FCFs ($000s)</t>
  </si>
  <si>
    <t>Enterprise Value ($000s)</t>
  </si>
  <si>
    <t>Equity Value ($000s)</t>
  </si>
  <si>
    <t>Implied Share Price ($)</t>
  </si>
  <si>
    <t>H.  SENSITIVITY: Implied Share Price ($)  —  WACC vs Terminal Growth Rate  (Base Case revenue/margins)</t>
  </si>
  <si>
    <t>WACC \ TGR →</t>
  </si>
  <si>
    <t>1.5%</t>
  </si>
  <si>
    <t>2.0%</t>
  </si>
  <si>
    <t>2.5%</t>
  </si>
  <si>
    <t>3.0%</t>
  </si>
  <si>
    <t>3.5%</t>
  </si>
  <si>
    <t>4.0%</t>
  </si>
  <si>
    <t>10%</t>
  </si>
  <si>
    <t>12%</t>
  </si>
  <si>
    <t>14%</t>
  </si>
  <si>
    <t>16%</t>
  </si>
  <si>
    <t>18%</t>
  </si>
  <si>
    <t>20%</t>
  </si>
  <si>
    <t>── SCENARIO ENGINE (helper rows – do not edit) ──</t>
  </si>
  <si>
    <t>Base</t>
  </si>
  <si>
    <t>Bull</t>
  </si>
  <si>
    <t>Bear</t>
  </si>
  <si>
    <t>Rev 2026</t>
  </si>
  <si>
    <t>Rev 2027</t>
  </si>
  <si>
    <t>Rev 2028</t>
  </si>
  <si>
    <t>Rev 2029</t>
  </si>
  <si>
    <t>Rev 2030</t>
  </si>
  <si>
    <t>Rev 2031</t>
  </si>
  <si>
    <t>Rev 2032</t>
  </si>
  <si>
    <t>Rev 2033</t>
  </si>
  <si>
    <t>Rev 2034</t>
  </si>
  <si>
    <t>Rev 2035</t>
  </si>
  <si>
    <t>Rev 2036</t>
  </si>
  <si>
    <t>Rev 2037</t>
  </si>
  <si>
    <t>Rev 2038</t>
  </si>
  <si>
    <t>Rev 2039</t>
  </si>
  <si>
    <t>Rev 2040</t>
  </si>
  <si>
    <t>Rev 2041</t>
  </si>
  <si>
    <t>Rev 2042</t>
  </si>
  <si>
    <t>Rev 2043</t>
  </si>
  <si>
    <t>Rev 2044</t>
  </si>
  <si>
    <t>Rev 2045</t>
  </si>
  <si>
    <t>UFCF 2026</t>
  </si>
  <si>
    <t>UFCF 2027</t>
  </si>
  <si>
    <t>UFCF 2028</t>
  </si>
  <si>
    <t>UFCF 2029</t>
  </si>
  <si>
    <t>UFCF 2030</t>
  </si>
  <si>
    <t>UFCF 2031</t>
  </si>
  <si>
    <t>UFCF 2032</t>
  </si>
  <si>
    <t>UFCF 2033</t>
  </si>
  <si>
    <t>UFCF 2034</t>
  </si>
  <si>
    <t>UFCF 2035</t>
  </si>
  <si>
    <t>UFCF 2036</t>
  </si>
  <si>
    <t>UFCF 2037</t>
  </si>
  <si>
    <t>UFCF 2038</t>
  </si>
  <si>
    <t>UFCF 2039</t>
  </si>
  <si>
    <t>UFCF 2040</t>
  </si>
  <si>
    <t>UFCF 2041</t>
  </si>
  <si>
    <t>UFCF 2042</t>
  </si>
  <si>
    <t>UFCF 2043</t>
  </si>
  <si>
    <t>UFCF 2044</t>
  </si>
  <si>
    <t>UFCF 2045</t>
  </si>
  <si>
    <t>PV_UFCF 2026</t>
  </si>
  <si>
    <t>PV_UFCF 2027</t>
  </si>
  <si>
    <t>PV_UFCF 2028</t>
  </si>
  <si>
    <t>PV_UFCF 2029</t>
  </si>
  <si>
    <t>PV_UFCF 2030</t>
  </si>
  <si>
    <t>PV_UFCF 2031</t>
  </si>
  <si>
    <t>PV_UFCF 2032</t>
  </si>
  <si>
    <t>PV_UFCF 2033</t>
  </si>
  <si>
    <t>PV_UFCF 2034</t>
  </si>
  <si>
    <t>PV_UFCF 2035</t>
  </si>
  <si>
    <t>PV_UFCF 2036</t>
  </si>
  <si>
    <t>PV_UFCF 2037</t>
  </si>
  <si>
    <t>PV_UFCF 2038</t>
  </si>
  <si>
    <t>PV_UFCF 2039</t>
  </si>
  <si>
    <t>PV_UFCF 2040</t>
  </si>
  <si>
    <t>PV_UFCF 2041</t>
  </si>
  <si>
    <t>PV_UFCF 2042</t>
  </si>
  <si>
    <t>PV_UFCF 2043</t>
  </si>
  <si>
    <t>PV_UFCF 2044</t>
  </si>
  <si>
    <t>PV_UFCF 2045</t>
  </si>
  <si>
    <t>Sum PV FCFs</t>
  </si>
  <si>
    <t>TV (undiscounted)</t>
  </si>
  <si>
    <t>PV of TV</t>
  </si>
  <si>
    <t>Enterprise Value</t>
  </si>
  <si>
    <t>Equity Value</t>
  </si>
  <si>
    <t>Share Price</t>
  </si>
  <si>
    <t>BBAI — Revenue Bridge &amp; Growth Schedule</t>
  </si>
  <si>
    <t>YoY $ Change</t>
  </si>
  <si>
    <t>YoY Growth %</t>
  </si>
  <si>
    <t>Gross Profit ($000s)</t>
  </si>
  <si>
    <t>SG&amp;A ($000s)</t>
  </si>
  <si>
    <t>R&amp;D ($000s)</t>
  </si>
  <si>
    <t>EBIT Margin %</t>
  </si>
  <si>
    <t>NOPAT ($000s)</t>
  </si>
  <si>
    <t>D&amp;A ($000s)</t>
  </si>
  <si>
    <t>CapEx ($000s)</t>
  </si>
  <si>
    <t>Δ NWC ($000s)</t>
  </si>
  <si>
    <t>UFCF ($000s)</t>
  </si>
  <si>
    <t>UFCF Margin %</t>
  </si>
  <si>
    <t>PV of UFCF ($000s)</t>
  </si>
  <si>
    <t>BBAI — $10 Re-Rating Scenario  |  "Proven AI Platform" Path to Value</t>
  </si>
  <si>
    <t>THESIS: BBAI achieves SaaS-like gross margins (60%+) by 2036 as Ask Sage platform scales, cuts SG&amp;A to 20% via operational leverage, turns FCF-positive by 2028, and earns a WACC re-rating to 10% as it de-risks (debt-free, profitable, defense-AI category leader). Net cash of $444M provides ~$0.93/share floor regardless of DCF.</t>
  </si>
  <si>
    <t>A.  REVENUE PROJECTION  (Same growth rates as Base Case — value comes from margin &amp; WACC, not revenue heroics)</t>
  </si>
  <si>
    <t>Revenue Growth Rate</t>
  </si>
  <si>
    <t>B.  P&amp;L  —  KEY DIFFERENCE: Faster gross margin ramp + aggressive SG&amp;A normalization vs Base Case</t>
  </si>
  <si>
    <t>Gross Margin %  ← KEY LEVER</t>
  </si>
  <si>
    <t>SG&amp;A as % Revenue  ← KEY LEVER</t>
  </si>
  <si>
    <t>R&amp;D as % Revenue</t>
  </si>
  <si>
    <t>C.  FREE CASH FLOW BUILD</t>
  </si>
  <si>
    <t>(+) D&amp;A ($000s)</t>
  </si>
  <si>
    <t>(−) CapEx + Cap. Software ($000s)</t>
  </si>
  <si>
    <t>(−) Change in NWC ($000s)</t>
  </si>
  <si>
    <t>D.  WACC RE-RATING  ← THE SINGLE BIGGEST LEVER  |  Base=17.2%  →  $10 Scenario=~10%</t>
  </si>
  <si>
    <t>WACC (from assumption block below)</t>
  </si>
  <si>
    <t>Discount Period (Mid-Year)</t>
  </si>
  <si>
    <t>Discount Factor</t>
  </si>
  <si>
    <t>E.  TERMINAL VALUE</t>
  </si>
  <si>
    <t>Terminal Value — Gordon Growth (undiscounted, $000s)</t>
  </si>
  <si>
    <t xml:space="preserve">  Terminal Value as % of EV</t>
  </si>
  <si>
    <t>(+) Net Cash — $444M floor ($000s)</t>
  </si>
  <si>
    <t>← This alone is worth $0.93/share; protects downside</t>
  </si>
  <si>
    <t>(−) Net Debt ($000s)</t>
  </si>
  <si>
    <t>Diluted Shares (Post-Jan-2026)</t>
  </si>
  <si>
    <t>★  IMPLIED SHARE PRICE ($)</t>
  </si>
  <si>
    <t>G.  WHAT DRIVES THE DIFFERENCE?  |  Base Case ($1.18)  vs  $10 Re-Rating Scenario</t>
  </si>
  <si>
    <t>$10 Scenario</t>
  </si>
  <si>
    <t>Key Driver</t>
  </si>
  <si>
    <t>Single biggest lever. 17.2% → ~10%</t>
  </si>
  <si>
    <t>3.0% → 4.0%</t>
  </si>
  <si>
    <t>GM% (Terminal)</t>
  </si>
  <si>
    <t>42% → 60% (SaaS platform at scale)</t>
  </si>
  <si>
    <t>SG&amp;A% (Terminal)</t>
  </si>
  <si>
    <t>25% → 20% (operational leverage)</t>
  </si>
  <si>
    <t>FCF Turns Positive (Year)</t>
  </si>
  <si>
    <t>2031 (yr 6)</t>
  </si>
  <si>
    <t>2028 (yr 3)</t>
  </si>
  <si>
    <t>Faster cost normaliz. breaks even sooner</t>
  </si>
  <si>
    <t>H.  WHAT HAS TO BE TRUE FOR $10  (Bull/Bear on each assumption)</t>
  </si>
  <si>
    <t>Bull Case (Must Be True)</t>
  </si>
  <si>
    <t>Bear Case (Risk)</t>
  </si>
  <si>
    <t>WACC compresses from 17% → 10%</t>
  </si>
  <si>
    <t>BBAI proves FCF-positive, retires all debt, Beta re-rates as it becomes category leader in gov AI</t>
  </si>
  <si>
    <t>DoD budget cuts, new equity dilution, or loss of key contracts keep risk premium elevated</t>
  </si>
  <si>
    <t>Gross Margin reaches 60% by 2036</t>
  </si>
  <si>
    <t>Ask Sage SaaS ARR scales to majority of revenue mix; government platform contracts renew at high margins</t>
  </si>
  <si>
    <t>Cost-plus government contracts dominate; SaaS pivot slower than expected</t>
  </si>
  <si>
    <t>SG&amp;A normalizes to 20% by 2036</t>
  </si>
  <si>
    <t>Revenue scale dilutes fixed cost base; Ask Sage integration delivers synergies; ATM-funded headcount burns off</t>
  </si>
  <si>
    <t>Continued M&amp;A spending, sales force build-out stays elevated; SG&amp;A stays above 30%</t>
  </si>
  <si>
    <t>Revenue CAGR 10-20% through 2035</t>
  </si>
  <si>
    <t>Defense AI spend acceleration, Middle East expansion, CargoSeer adds travel/trade TAM</t>
  </si>
  <si>
    <t>DOGE/budget cuts reduce Army programs further; revenue flat/declining near-term</t>
  </si>
  <si>
    <t>Terminal Growth Rate of 4%</t>
  </si>
  <si>
    <t>Structural AI defense spend growth; long-duration government contracts provide visibility</t>
  </si>
  <si>
    <t>AI commoditization; budget pressure; higher rate environment</t>
  </si>
  <si>
    <t>$10 SCENARIO ASSUMPTIONS  (Blue = input, edit here)</t>
  </si>
  <si>
    <t>vs Base Case</t>
  </si>
  <si>
    <t>Rationale</t>
  </si>
  <si>
    <t>FY2026 Revenue Growth</t>
  </si>
  <si>
    <t>Same as base; mgmt 2026 guide $135-165M</t>
  </si>
  <si>
    <t>FY2027 Revenue Growth</t>
  </si>
  <si>
    <t>Same as base</t>
  </si>
  <si>
    <t>FY2028 Revenue Growth</t>
  </si>
  <si>
    <t>FY2029 Revenue Growth</t>
  </si>
  <si>
    <t>FY2030 Revenue Growth</t>
  </si>
  <si>
    <t>FY2031-35 Revenue CAGR</t>
  </si>
  <si>
    <t>FY2036-40 Revenue CAGR</t>
  </si>
  <si>
    <t>FY2041-45 Revenue CAGR</t>
  </si>
  <si>
    <t>GM% FY2026</t>
  </si>
  <si>
    <t>Slight improvement over base (24%); Ask Sage SaaS mix</t>
  </si>
  <si>
    <t>GM% FY2027</t>
  </si>
  <si>
    <t>Base=27%; faster platform scaling</t>
  </si>
  <si>
    <t>GM% FY2028</t>
  </si>
  <si>
    <t>Base=30%; in-line</t>
  </si>
  <si>
    <t>GM% FY2029</t>
  </si>
  <si>
    <t>Base=33%; platform leverage accelerates</t>
  </si>
  <si>
    <t>GM% FY2030</t>
  </si>
  <si>
    <t>Base=35%; SaaS mix shifting</t>
  </si>
  <si>
    <t>GM% FY2031-35</t>
  </si>
  <si>
    <t>Base=38%; Ask Sage driving higher-margin ARR</t>
  </si>
  <si>
    <t>GM% FY2036-45</t>
  </si>
  <si>
    <t>Base=42%; Palantir-like platform margins at scale</t>
  </si>
  <si>
    <t>SG&amp;A% FY2026</t>
  </si>
  <si>
    <t>Base=65%; assumes immediate cost discipline post-Ask Sage</t>
  </si>
  <si>
    <t>SG&amp;A% FY2027</t>
  </si>
  <si>
    <t>Base=55%; operating leverage kicks in</t>
  </si>
  <si>
    <t>SG&amp;A% FY2028</t>
  </si>
  <si>
    <t>Base=48%; meaningful improvement</t>
  </si>
  <si>
    <t>SG&amp;A% FY2029</t>
  </si>
  <si>
    <t>Base=42%; approaching normalized range</t>
  </si>
  <si>
    <t>SG&amp;A% FY2030</t>
  </si>
  <si>
    <t>Base=38%; lean org at this revenue scale</t>
  </si>
  <si>
    <t>SG&amp;A% FY2031-35</t>
  </si>
  <si>
    <t>Base=30%; world-class efficiency</t>
  </si>
  <si>
    <t>SG&amp;A% FY2036-45</t>
  </si>
  <si>
    <t>Base=25%; terminal SG&amp;A; Palantir ~18%</t>
  </si>
  <si>
    <t>R&amp;D% All Years</t>
  </si>
  <si>
    <t>D&amp;A% All Years</t>
  </si>
  <si>
    <t>CapEx% All Years</t>
  </si>
  <si>
    <t>NWC% Rev Change</t>
  </si>
  <si>
    <t>Slightly better than base (5%); lower AR days</t>
  </si>
  <si>
    <t>Cash Tax Rate</t>
  </si>
  <si>
    <t>Same; $339M NOL shields cash taxes ~8 yrs</t>
  </si>
  <si>
    <t>Beta (Re-Rated)</t>
  </si>
  <si>
    <t>KEY LEVER: Base=2.2. Re-rates to 1.0 once debt-free + FCF-positive. Peer: Palantir beta ~1.8, but BBAI has stronger gov contracts</t>
  </si>
  <si>
    <t>Base=3%. Re-rates to 0% as market cap grows with profitability</t>
  </si>
  <si>
    <t>Same</t>
  </si>
  <si>
    <t>Cost of Equity (formula)</t>
  </si>
  <si>
    <t>Formula: Rf + Beta*ERP + Size</t>
  </si>
  <si>
    <t>Base=85%; nearly debt-free post-2026 Notes</t>
  </si>
  <si>
    <t>Formula: 1 - We</t>
  </si>
  <si>
    <t>Same; only 2026 Notes remain at 6%</t>
  </si>
  <si>
    <t>Terminal Tax Rate</t>
  </si>
  <si>
    <t>WACC (formula)</t>
  </si>
  <si>
    <t>Formula: Ke*We + Kd*(1-t)*Wd → ~10%</t>
  </si>
  <si>
    <t>Base=3%. Higher: AI defense spending structural tailwind</t>
  </si>
  <si>
    <t>Terminal EV/EBITDA (xchk)</t>
  </si>
  <si>
    <t>Base=15x. Re-rated to 20x (Palantir trades 60x+; conservative)</t>
  </si>
  <si>
    <t>Terminal EBITDA Margin</t>
  </si>
  <si>
    <t>Base=20%; higher with 60% GM and 20% 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</si>
</sst>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;&quot;($&quot;#,##0\);\-"/>
    <numFmt numFmtId="165" formatCode="0.0%;\(0.0%\);\-"/>
    <numFmt numFmtId="166" formatCode="#,##0;\(#,##0\);\-"/>
    <numFmt numFmtId="167" formatCode="0.0\x"/>
    <numFmt numFmtId="168" formatCode="0.0%"/>
    <numFmt numFmtId="169" formatCode="0.0"/>
    <numFmt numFmtId="170" formatCode="0.0000"/>
    <numFmt numFmtId="171" formatCode="\$#,##0.00"/>
    <numFmt numFmtId="172" formatCode="\$#,##0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rgb="FF008000"/>
      <name val="Arial"/>
      <charset val="1"/>
    </font>
    <font>
      <sz val="9"/>
      <color rgb="FF595959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9"/>
      <color rgb="FF0066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0"/>
      <color rgb="FF595959"/>
      <name val="Arial"/>
      <charset val="1"/>
    </font>
    <font>
      <sz val="10"/>
      <color rgb="FF008000"/>
      <name val="Arial"/>
      <charset val="1"/>
    </font>
    <font>
      <b/>
      <sz val="12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i/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4"/>
      <color rgb="FFC00000"/>
      <name val="Arial"/>
      <charset val="1"/>
    </font>
    <font>
      <b/>
      <sz val="12"/>
      <color rgb="FFC00000"/>
      <name val="Arial"/>
      <charset val="1"/>
    </font>
    <font>
      <sz val="9"/>
      <color rgb="FFC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E2EFDA"/>
      </patternFill>
    </fill>
    <fill>
      <patternFill patternType="solid">
        <fgColor rgb="FF404040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10" borderId="0" xfId="0" applyFont="1" applyFill="1" applyBorder="1" applyAlignment="1">
      <alignment horizontal="left" vertical="center"/>
    </xf>
    <xf numFmtId="0" fontId="23" fillId="10" borderId="0" xfId="0" applyFont="1" applyFill="1" applyBorder="1" applyAlignment="1">
      <alignment horizontal="left" vertical="center" wrapText="1"/>
    </xf>
    <xf numFmtId="0" fontId="22" fillId="7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49" fontId="7" fillId="7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5" fontId="6" fillId="4" borderId="0" xfId="0" applyNumberFormat="1" applyFont="1" applyFill="1" applyAlignment="1">
      <alignment horizontal="right" vertical="center"/>
    </xf>
    <xf numFmtId="165" fontId="6" fillId="5" borderId="0" xfId="0" applyNumberFormat="1" applyFont="1" applyFill="1" applyAlignment="1">
      <alignment horizontal="right" vertical="center"/>
    </xf>
    <xf numFmtId="165" fontId="6" fillId="6" borderId="0" xfId="0" applyNumberFormat="1" applyFont="1" applyFill="1" applyAlignment="1">
      <alignment horizontal="right" vertical="center"/>
    </xf>
    <xf numFmtId="1" fontId="6" fillId="4" borderId="0" xfId="0" applyNumberFormat="1" applyFont="1" applyFill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7" fontId="6" fillId="4" borderId="0" xfId="0" applyNumberFormat="1" applyFont="1" applyFill="1" applyAlignment="1">
      <alignment horizontal="right" vertical="center"/>
    </xf>
    <xf numFmtId="167" fontId="6" fillId="5" borderId="0" xfId="0" applyNumberFormat="1" applyFont="1" applyFill="1" applyAlignment="1">
      <alignment horizontal="right" vertical="center"/>
    </xf>
    <xf numFmtId="167" fontId="6" fillId="6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8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/>
    </xf>
    <xf numFmtId="168" fontId="11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2" fillId="4" borderId="0" xfId="0" applyFont="1" applyFill="1" applyAlignment="1">
      <alignment horizontal="left" vertical="center"/>
    </xf>
    <xf numFmtId="2" fontId="9" fillId="0" borderId="0" xfId="0" applyNumberFormat="1" applyFont="1" applyAlignment="1">
      <alignment horizontal="right"/>
    </xf>
    <xf numFmtId="0" fontId="13" fillId="0" borderId="0" xfId="0" applyFont="1" applyAlignment="1">
      <alignment horizontal="left" vertical="center" wrapText="1"/>
    </xf>
    <xf numFmtId="0" fontId="12" fillId="8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12" fillId="0" borderId="0" xfId="0" applyFont="1" applyAlignment="1">
      <alignment horizontal="left" vertical="center"/>
    </xf>
    <xf numFmtId="168" fontId="9" fillId="4" borderId="0" xfId="0" applyNumberFormat="1" applyFont="1" applyFill="1" applyAlignment="1">
      <alignment horizontal="right"/>
    </xf>
    <xf numFmtId="2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165" fontId="17" fillId="0" borderId="0" xfId="0" applyNumberFormat="1" applyFont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0" fontId="4" fillId="9" borderId="0" xfId="0" applyFont="1" applyFill="1" applyAlignment="1">
      <alignment horizontal="left" vertical="center"/>
    </xf>
    <xf numFmtId="169" fontId="5" fillId="0" borderId="0" xfId="0" applyNumberFormat="1" applyFont="1" applyAlignment="1">
      <alignment horizontal="right" vertical="center"/>
    </xf>
    <xf numFmtId="170" fontId="5" fillId="0" borderId="0" xfId="0" applyNumberFormat="1" applyFont="1" applyAlignment="1">
      <alignment horizontal="right" vertical="center"/>
    </xf>
    <xf numFmtId="164" fontId="5" fillId="9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171" fontId="18" fillId="4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171" fontId="12" fillId="4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71" fontId="11" fillId="0" borderId="0" xfId="0" applyNumberFormat="1" applyFont="1" applyAlignment="1">
      <alignment horizontal="center" vertical="center"/>
    </xf>
    <xf numFmtId="171" fontId="11" fillId="5" borderId="0" xfId="0" applyNumberFormat="1" applyFont="1" applyFill="1" applyAlignment="1">
      <alignment horizontal="center" vertical="center"/>
    </xf>
    <xf numFmtId="0" fontId="19" fillId="10" borderId="0" xfId="0" applyFont="1" applyFill="1" applyAlignment="1"/>
    <xf numFmtId="0" fontId="0" fillId="10" borderId="0" xfId="0" applyFill="1" applyAlignment="1"/>
    <xf numFmtId="0" fontId="20" fillId="0" borderId="0" xfId="0" applyFont="1" applyAlignment="1"/>
    <xf numFmtId="0" fontId="21" fillId="0" borderId="0" xfId="0" applyFont="1" applyAlignment="1"/>
    <xf numFmtId="172" fontId="10" fillId="0" borderId="0" xfId="0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5" fontId="17" fillId="4" borderId="0" xfId="0" applyNumberFormat="1" applyFont="1" applyFill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17" fillId="0" borderId="0" xfId="0" applyNumberFormat="1" applyFont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71" fontId="26" fillId="4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1" fontId="17" fillId="0" borderId="0" xfId="0" applyNumberFormat="1" applyFont="1" applyAlignment="1">
      <alignment horizontal="right" vertical="center"/>
    </xf>
    <xf numFmtId="171" fontId="27" fillId="4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28" fillId="6" borderId="0" xfId="0" applyFont="1" applyFill="1" applyAlignment="1">
      <alignment horizontal="left" vertical="center" wrapText="1"/>
    </xf>
    <xf numFmtId="169" fontId="17" fillId="0" borderId="0" xfId="0" applyNumberFormat="1" applyFont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6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opLeftCell="C1" zoomScaleNormal="100" workbookViewId="0">
      <pane ySplit="5" topLeftCell="C70" activePane="bottomLeft" state="frozen"/>
      <selection pane="bottomLeft"/>
    </sheetView>
  </sheetViews>
  <sheetFormatPr defaultColWidth="8.7421875" defaultRowHeight="15" x14ac:dyDescent="0.2"/>
  <cols>
    <col min="1" max="1" width="37.93359375" style="12" customWidth="1"/>
    <col min="2" max="4" width="18.0234375" style="12" customWidth="1"/>
    <col min="5" max="5" width="55.01953125" style="12" customWidth="1"/>
  </cols>
  <sheetData>
    <row r="1" spans="1:5" ht="27.75" customHeight="1" x14ac:dyDescent="0.2">
      <c r="A1" s="11" t="s">
        <v>0</v>
      </c>
      <c r="B1" s="11"/>
      <c r="C1" s="11"/>
      <c r="D1" s="11"/>
      <c r="E1" s="11"/>
    </row>
    <row r="2" spans="1:5" ht="15" customHeight="1" x14ac:dyDescent="0.2">
      <c r="A2" s="13" t="s">
        <v>1</v>
      </c>
    </row>
    <row r="4" spans="1:5" ht="15" customHeight="1" x14ac:dyDescent="0.2">
      <c r="A4" s="10" t="s">
        <v>2</v>
      </c>
      <c r="B4" s="10"/>
      <c r="C4" s="10"/>
      <c r="D4" s="10"/>
      <c r="E4" s="10"/>
    </row>
    <row r="5" spans="1:5" ht="15" customHeight="1" x14ac:dyDescent="0.2">
      <c r="A5" s="14" t="s">
        <v>3</v>
      </c>
      <c r="B5" s="15" t="s">
        <v>4</v>
      </c>
      <c r="C5" s="15" t="s">
        <v>5</v>
      </c>
      <c r="D5" s="15" t="s">
        <v>6</v>
      </c>
      <c r="E5" s="14" t="s">
        <v>7</v>
      </c>
    </row>
    <row r="6" spans="1:5" ht="15" customHeight="1" x14ac:dyDescent="0.2">
      <c r="A6" s="16" t="s">
        <v>8</v>
      </c>
      <c r="B6" s="17">
        <v>155164</v>
      </c>
      <c r="C6" s="17">
        <v>158236</v>
      </c>
      <c r="D6" s="17">
        <v>127672</v>
      </c>
      <c r="E6" s="13" t="s">
        <v>9</v>
      </c>
    </row>
    <row r="7" spans="1:5" ht="15" customHeight="1" x14ac:dyDescent="0.2">
      <c r="A7" s="16" t="s">
        <v>10</v>
      </c>
      <c r="B7" s="17">
        <v>114563</v>
      </c>
      <c r="C7" s="17">
        <v>113016</v>
      </c>
      <c r="D7" s="17">
        <v>99194</v>
      </c>
      <c r="E7" s="13" t="s">
        <v>9</v>
      </c>
    </row>
    <row r="8" spans="1:5" ht="15" customHeight="1" x14ac:dyDescent="0.2">
      <c r="A8" s="16" t="s">
        <v>11</v>
      </c>
      <c r="B8" s="18">
        <f>B6-B7</f>
        <v>40601</v>
      </c>
      <c r="C8" s="18">
        <f>C6-C7</f>
        <v>45220</v>
      </c>
      <c r="D8" s="18">
        <f>D6-D7</f>
        <v>28478</v>
      </c>
      <c r="E8" s="13" t="s">
        <v>12</v>
      </c>
    </row>
    <row r="9" spans="1:5" ht="15" customHeight="1" x14ac:dyDescent="0.2">
      <c r="A9" s="16" t="s">
        <v>13</v>
      </c>
      <c r="B9" s="19">
        <f>B8/B6</f>
        <v>0.26166507695083913</v>
      </c>
      <c r="C9" s="19">
        <f>C8/C6</f>
        <v>0.28577567683712934</v>
      </c>
      <c r="D9" s="19">
        <f>D8/D6</f>
        <v>0.22305595588696034</v>
      </c>
      <c r="E9" s="13" t="s">
        <v>14</v>
      </c>
    </row>
    <row r="10" spans="1:5" ht="15" customHeight="1" x14ac:dyDescent="0.2">
      <c r="A10" s="16" t="s">
        <v>15</v>
      </c>
      <c r="B10" s="17">
        <v>71057</v>
      </c>
      <c r="C10" s="17">
        <v>80040</v>
      </c>
      <c r="D10" s="17">
        <v>95132</v>
      </c>
      <c r="E10" s="13" t="s">
        <v>9</v>
      </c>
    </row>
    <row r="11" spans="1:5" ht="15" customHeight="1" x14ac:dyDescent="0.2">
      <c r="A11" s="16" t="s">
        <v>16</v>
      </c>
      <c r="B11" s="17">
        <v>5035</v>
      </c>
      <c r="C11" s="17">
        <v>10863</v>
      </c>
      <c r="D11" s="17">
        <v>16752</v>
      </c>
      <c r="E11" s="13" t="s">
        <v>9</v>
      </c>
    </row>
    <row r="12" spans="1:5" ht="15" customHeight="1" x14ac:dyDescent="0.2">
      <c r="A12" s="16" t="s">
        <v>17</v>
      </c>
      <c r="B12" s="17">
        <v>-39034</v>
      </c>
      <c r="C12" s="17">
        <v>-133420</v>
      </c>
      <c r="D12" s="17">
        <v>-213897</v>
      </c>
      <c r="E12" s="13" t="s">
        <v>9</v>
      </c>
    </row>
    <row r="13" spans="1:5" ht="15" customHeight="1" x14ac:dyDescent="0.2">
      <c r="A13" s="16" t="s">
        <v>18</v>
      </c>
      <c r="B13" s="17">
        <v>7901</v>
      </c>
      <c r="C13" s="17">
        <v>11873</v>
      </c>
      <c r="D13" s="17">
        <v>15281</v>
      </c>
      <c r="E13" s="13" t="s">
        <v>19</v>
      </c>
    </row>
    <row r="14" spans="1:5" ht="15" customHeight="1" x14ac:dyDescent="0.2">
      <c r="A14" s="16" t="s">
        <v>20</v>
      </c>
      <c r="B14" s="17">
        <v>18671</v>
      </c>
      <c r="C14" s="17">
        <v>21127</v>
      </c>
      <c r="D14" s="17">
        <v>23330</v>
      </c>
      <c r="E14" s="13" t="s">
        <v>19</v>
      </c>
    </row>
    <row r="15" spans="1:5" ht="15" customHeight="1" x14ac:dyDescent="0.2">
      <c r="A15" s="16" t="s">
        <v>21</v>
      </c>
      <c r="B15" s="17">
        <v>2</v>
      </c>
      <c r="C15" s="17">
        <v>484</v>
      </c>
      <c r="D15" s="17">
        <v>525</v>
      </c>
      <c r="E15" s="13" t="s">
        <v>19</v>
      </c>
    </row>
    <row r="16" spans="1:5" ht="15" customHeight="1" x14ac:dyDescent="0.2">
      <c r="A16" s="16" t="s">
        <v>22</v>
      </c>
      <c r="B16" s="17">
        <v>3828</v>
      </c>
      <c r="C16" s="17">
        <v>10630</v>
      </c>
      <c r="D16" s="17">
        <v>3841</v>
      </c>
      <c r="E16" s="13" t="s">
        <v>19</v>
      </c>
    </row>
    <row r="17" spans="1:5" ht="15" customHeight="1" x14ac:dyDescent="0.2">
      <c r="A17" s="16" t="s">
        <v>23</v>
      </c>
      <c r="B17" s="17">
        <v>24877</v>
      </c>
      <c r="C17" s="17">
        <v>25647</v>
      </c>
      <c r="D17" s="17">
        <v>18116</v>
      </c>
      <c r="E17" s="13" t="s">
        <v>9</v>
      </c>
    </row>
    <row r="18" spans="1:5" ht="15" customHeight="1" x14ac:dyDescent="0.2">
      <c r="A18" s="16" t="s">
        <v>24</v>
      </c>
      <c r="B18" s="17">
        <v>392</v>
      </c>
      <c r="C18" s="17">
        <v>2293</v>
      </c>
      <c r="D18" s="17">
        <v>13253</v>
      </c>
      <c r="E18" s="13" t="s">
        <v>9</v>
      </c>
    </row>
    <row r="19" spans="1:5" ht="15" customHeight="1" x14ac:dyDescent="0.2">
      <c r="A19" s="16" t="s">
        <v>25</v>
      </c>
      <c r="B19" s="17">
        <v>-70657</v>
      </c>
      <c r="C19" s="17">
        <v>-295547</v>
      </c>
      <c r="D19" s="17">
        <v>-293914</v>
      </c>
      <c r="E19" s="13" t="s">
        <v>9</v>
      </c>
    </row>
    <row r="20" spans="1:5" ht="15" customHeight="1" x14ac:dyDescent="0.2">
      <c r="A20" s="16" t="s">
        <v>26</v>
      </c>
      <c r="C20" s="17">
        <v>-2397</v>
      </c>
      <c r="D20" s="17">
        <v>-35140</v>
      </c>
      <c r="E20" s="13" t="s">
        <v>27</v>
      </c>
    </row>
    <row r="22" spans="1:5" ht="15" customHeight="1" x14ac:dyDescent="0.2">
      <c r="A22" s="10" t="s">
        <v>28</v>
      </c>
      <c r="B22" s="10"/>
      <c r="C22" s="10"/>
      <c r="D22" s="10"/>
      <c r="E22" s="10"/>
    </row>
    <row r="23" spans="1:5" ht="15" customHeight="1" x14ac:dyDescent="0.2">
      <c r="A23" s="14" t="s">
        <v>3</v>
      </c>
      <c r="B23" s="15" t="s">
        <v>5</v>
      </c>
      <c r="C23" s="15" t="s">
        <v>6</v>
      </c>
      <c r="E23" s="14" t="s">
        <v>7</v>
      </c>
    </row>
    <row r="24" spans="1:5" ht="15" customHeight="1" x14ac:dyDescent="0.2">
      <c r="A24" s="16" t="s">
        <v>29</v>
      </c>
      <c r="B24" s="17">
        <v>50141</v>
      </c>
      <c r="C24" s="17">
        <v>87126</v>
      </c>
      <c r="E24" s="13" t="s">
        <v>30</v>
      </c>
    </row>
    <row r="25" spans="1:5" ht="15" customHeight="1" x14ac:dyDescent="0.2">
      <c r="A25" s="16" t="s">
        <v>31</v>
      </c>
      <c r="B25" s="17">
        <v>0</v>
      </c>
      <c r="C25" s="17">
        <v>200461</v>
      </c>
      <c r="E25" s="13" t="s">
        <v>30</v>
      </c>
    </row>
    <row r="26" spans="1:5" ht="15" customHeight="1" x14ac:dyDescent="0.2">
      <c r="A26" s="16" t="s">
        <v>32</v>
      </c>
      <c r="B26" s="17">
        <v>0</v>
      </c>
      <c r="C26" s="17">
        <v>173949</v>
      </c>
      <c r="E26" s="13" t="s">
        <v>30</v>
      </c>
    </row>
    <row r="27" spans="1:5" ht="15" customHeight="1" x14ac:dyDescent="0.2">
      <c r="A27" s="16" t="s">
        <v>33</v>
      </c>
      <c r="B27" s="18">
        <f>B24+B25+B26</f>
        <v>50141</v>
      </c>
      <c r="C27" s="18">
        <f>C24+C25+C26</f>
        <v>461536</v>
      </c>
      <c r="E27" s="13" t="s">
        <v>34</v>
      </c>
    </row>
    <row r="28" spans="1:5" ht="15" customHeight="1" x14ac:dyDescent="0.2">
      <c r="A28" s="16" t="s">
        <v>35</v>
      </c>
      <c r="B28" s="17">
        <v>38953</v>
      </c>
      <c r="C28" s="17">
        <v>22703</v>
      </c>
      <c r="E28" s="13" t="s">
        <v>30</v>
      </c>
    </row>
    <row r="29" spans="1:5" ht="15" customHeight="1" x14ac:dyDescent="0.2">
      <c r="A29" s="16" t="s">
        <v>36</v>
      </c>
      <c r="B29" s="17">
        <v>119081</v>
      </c>
      <c r="C29" s="17">
        <v>241100</v>
      </c>
      <c r="E29" s="13" t="s">
        <v>30</v>
      </c>
    </row>
    <row r="30" spans="1:5" ht="15" customHeight="1" x14ac:dyDescent="0.2">
      <c r="A30" s="16" t="s">
        <v>37</v>
      </c>
      <c r="B30" s="17">
        <v>119119</v>
      </c>
      <c r="C30" s="17">
        <v>139470</v>
      </c>
      <c r="E30" s="13" t="s">
        <v>30</v>
      </c>
    </row>
    <row r="31" spans="1:5" ht="15" customHeight="1" x14ac:dyDescent="0.2">
      <c r="A31" s="16" t="s">
        <v>38</v>
      </c>
      <c r="B31" s="17">
        <v>200818</v>
      </c>
      <c r="C31" s="17">
        <v>142273</v>
      </c>
      <c r="E31" s="13" t="s">
        <v>39</v>
      </c>
    </row>
    <row r="32" spans="1:5" ht="15" customHeight="1" x14ac:dyDescent="0.2">
      <c r="A32" s="16" t="s">
        <v>40</v>
      </c>
      <c r="C32" s="18">
        <f>C31-124605</f>
        <v>17668</v>
      </c>
      <c r="E32" s="13" t="s">
        <v>41</v>
      </c>
    </row>
    <row r="33" spans="1:5" ht="15" customHeight="1" x14ac:dyDescent="0.2">
      <c r="A33" s="16" t="s">
        <v>42</v>
      </c>
      <c r="B33" s="20">
        <v>251554378</v>
      </c>
      <c r="C33" s="20">
        <v>436955655</v>
      </c>
      <c r="E33" s="13" t="s">
        <v>30</v>
      </c>
    </row>
    <row r="34" spans="1:5" ht="15" customHeight="1" x14ac:dyDescent="0.2">
      <c r="A34" s="16" t="s">
        <v>43</v>
      </c>
      <c r="C34" s="21">
        <f>C33+38100000</f>
        <v>475055655</v>
      </c>
      <c r="E34" s="13" t="s">
        <v>44</v>
      </c>
    </row>
    <row r="35" spans="1:5" ht="15" customHeight="1" x14ac:dyDescent="0.2">
      <c r="A35" s="16" t="s">
        <v>45</v>
      </c>
      <c r="C35" s="17">
        <v>339600</v>
      </c>
      <c r="E35" s="13" t="s">
        <v>46</v>
      </c>
    </row>
    <row r="38" spans="1:5" ht="15" customHeight="1" x14ac:dyDescent="0.2">
      <c r="A38" s="10" t="s">
        <v>47</v>
      </c>
      <c r="B38" s="10"/>
      <c r="C38" s="10"/>
      <c r="D38" s="10"/>
      <c r="E38" s="10"/>
    </row>
    <row r="39" spans="1:5" ht="15" customHeight="1" x14ac:dyDescent="0.2">
      <c r="A39" s="14" t="s">
        <v>48</v>
      </c>
      <c r="B39" s="15" t="s">
        <v>49</v>
      </c>
      <c r="C39" s="15" t="s">
        <v>50</v>
      </c>
      <c r="D39" s="15" t="s">
        <v>51</v>
      </c>
      <c r="E39" s="14" t="s">
        <v>7</v>
      </c>
    </row>
    <row r="40" spans="1:5" ht="15" customHeight="1" x14ac:dyDescent="0.2">
      <c r="A40" s="16" t="s">
        <v>52</v>
      </c>
      <c r="B40" s="22">
        <v>0.17</v>
      </c>
      <c r="C40" s="23">
        <v>0.25</v>
      </c>
      <c r="D40" s="24">
        <v>0.05</v>
      </c>
      <c r="E40" s="13" t="s">
        <v>53</v>
      </c>
    </row>
    <row r="41" spans="1:5" ht="15" customHeight="1" x14ac:dyDescent="0.2">
      <c r="A41" s="16" t="s">
        <v>54</v>
      </c>
      <c r="B41" s="22">
        <v>0.2</v>
      </c>
      <c r="C41" s="23">
        <v>0.3</v>
      </c>
      <c r="D41" s="24">
        <v>0.1</v>
      </c>
      <c r="E41" s="13" t="s">
        <v>55</v>
      </c>
    </row>
    <row r="42" spans="1:5" ht="15" customHeight="1" x14ac:dyDescent="0.2">
      <c r="A42" s="16" t="s">
        <v>56</v>
      </c>
      <c r="B42" s="22">
        <v>0.22</v>
      </c>
      <c r="C42" s="23">
        <v>0.3</v>
      </c>
      <c r="D42" s="24">
        <v>0.12</v>
      </c>
      <c r="E42" s="13" t="s">
        <v>57</v>
      </c>
    </row>
    <row r="43" spans="1:5" ht="15" customHeight="1" x14ac:dyDescent="0.2">
      <c r="A43" s="16" t="s">
        <v>58</v>
      </c>
      <c r="B43" s="22">
        <v>0.25</v>
      </c>
      <c r="C43" s="23">
        <v>0.3</v>
      </c>
      <c r="D43" s="24">
        <v>0.15</v>
      </c>
      <c r="E43" s="13" t="s">
        <v>59</v>
      </c>
    </row>
    <row r="44" spans="1:5" ht="15" customHeight="1" x14ac:dyDescent="0.2">
      <c r="A44" s="16" t="s">
        <v>60</v>
      </c>
      <c r="B44" s="22">
        <v>0.22</v>
      </c>
      <c r="C44" s="23">
        <v>0.28000000000000003</v>
      </c>
      <c r="D44" s="24">
        <v>0.12</v>
      </c>
      <c r="E44" s="13" t="s">
        <v>61</v>
      </c>
    </row>
    <row r="45" spans="1:5" ht="15" customHeight="1" x14ac:dyDescent="0.2">
      <c r="A45" s="16" t="s">
        <v>62</v>
      </c>
      <c r="B45" s="22">
        <v>0.18</v>
      </c>
      <c r="C45" s="23">
        <v>0.22</v>
      </c>
      <c r="D45" s="24">
        <v>0.1</v>
      </c>
      <c r="E45" s="13" t="s">
        <v>63</v>
      </c>
    </row>
    <row r="46" spans="1:5" ht="15" customHeight="1" x14ac:dyDescent="0.2">
      <c r="A46" s="16" t="s">
        <v>64</v>
      </c>
      <c r="B46" s="22">
        <v>0.12</v>
      </c>
      <c r="C46" s="23">
        <v>0.15</v>
      </c>
      <c r="D46" s="24">
        <v>7.0000000000000007E-2</v>
      </c>
      <c r="E46" s="13" t="s">
        <v>65</v>
      </c>
    </row>
    <row r="47" spans="1:5" ht="15" customHeight="1" x14ac:dyDescent="0.2">
      <c r="A47" s="16" t="s">
        <v>66</v>
      </c>
      <c r="B47" s="22">
        <v>0.08</v>
      </c>
      <c r="C47" s="23">
        <v>0.1</v>
      </c>
      <c r="D47" s="24">
        <v>0.05</v>
      </c>
      <c r="E47" s="13" t="s">
        <v>67</v>
      </c>
    </row>
    <row r="49" spans="1:5" ht="15" customHeight="1" x14ac:dyDescent="0.2">
      <c r="A49" s="9" t="s">
        <v>68</v>
      </c>
      <c r="B49" s="9"/>
      <c r="C49" s="9"/>
      <c r="D49" s="9"/>
      <c r="E49" s="9"/>
    </row>
    <row r="50" spans="1:5" ht="15" customHeight="1" x14ac:dyDescent="0.2">
      <c r="A50" s="14" t="s">
        <v>69</v>
      </c>
      <c r="B50" s="25">
        <v>1</v>
      </c>
      <c r="E50" s="13" t="s">
        <v>70</v>
      </c>
    </row>
    <row r="52" spans="1:5" ht="15" customHeight="1" x14ac:dyDescent="0.2">
      <c r="A52" s="10" t="s">
        <v>71</v>
      </c>
      <c r="B52" s="10"/>
      <c r="C52" s="10"/>
      <c r="D52" s="10"/>
      <c r="E52" s="10"/>
    </row>
    <row r="53" spans="1:5" ht="15" customHeight="1" x14ac:dyDescent="0.2">
      <c r="A53" s="14" t="s">
        <v>48</v>
      </c>
      <c r="B53" s="15" t="s">
        <v>49</v>
      </c>
      <c r="C53" s="15" t="s">
        <v>50</v>
      </c>
      <c r="D53" s="15" t="s">
        <v>51</v>
      </c>
      <c r="E53" s="14" t="s">
        <v>7</v>
      </c>
    </row>
    <row r="54" spans="1:5" ht="15" customHeight="1" x14ac:dyDescent="0.2">
      <c r="A54" s="16" t="s">
        <v>72</v>
      </c>
      <c r="B54" s="22">
        <v>0.24</v>
      </c>
      <c r="C54" s="23">
        <v>0.27</v>
      </c>
      <c r="D54" s="24">
        <v>0.21</v>
      </c>
      <c r="E54" s="13" t="s">
        <v>73</v>
      </c>
    </row>
    <row r="55" spans="1:5" ht="15" customHeight="1" x14ac:dyDescent="0.2">
      <c r="A55" s="16" t="s">
        <v>74</v>
      </c>
      <c r="B55" s="26">
        <v>0.27</v>
      </c>
      <c r="C55" s="26">
        <v>0.31</v>
      </c>
      <c r="D55" s="26">
        <v>0.23</v>
      </c>
      <c r="E55" s="13" t="s">
        <v>75</v>
      </c>
    </row>
    <row r="56" spans="1:5" ht="15" customHeight="1" x14ac:dyDescent="0.2">
      <c r="A56" s="16" t="s">
        <v>76</v>
      </c>
      <c r="B56" s="26">
        <v>0.3</v>
      </c>
      <c r="C56" s="26">
        <v>0.34</v>
      </c>
      <c r="D56" s="26">
        <v>0.25</v>
      </c>
      <c r="E56" s="13" t="s">
        <v>77</v>
      </c>
    </row>
    <row r="57" spans="1:5" ht="15" customHeight="1" x14ac:dyDescent="0.2">
      <c r="A57" s="16" t="s">
        <v>78</v>
      </c>
      <c r="B57" s="26">
        <v>0.33</v>
      </c>
      <c r="C57" s="26">
        <v>0.37</v>
      </c>
      <c r="D57" s="26">
        <v>0.27</v>
      </c>
      <c r="E57" s="13" t="s">
        <v>79</v>
      </c>
    </row>
    <row r="58" spans="1:5" ht="15" customHeight="1" x14ac:dyDescent="0.2">
      <c r="A58" s="16" t="s">
        <v>80</v>
      </c>
      <c r="B58" s="26">
        <v>0.35</v>
      </c>
      <c r="C58" s="26">
        <v>0.4</v>
      </c>
      <c r="D58" s="26">
        <v>0.28999999999999998</v>
      </c>
      <c r="E58" s="13" t="s">
        <v>81</v>
      </c>
    </row>
    <row r="59" spans="1:5" ht="15" customHeight="1" x14ac:dyDescent="0.2">
      <c r="A59" s="16" t="s">
        <v>82</v>
      </c>
      <c r="B59" s="26">
        <v>0.38</v>
      </c>
      <c r="C59" s="26">
        <v>0.44</v>
      </c>
      <c r="D59" s="26">
        <v>0.31</v>
      </c>
      <c r="E59" s="13" t="s">
        <v>83</v>
      </c>
    </row>
    <row r="60" spans="1:5" ht="15" customHeight="1" x14ac:dyDescent="0.2">
      <c r="A60" s="16" t="s">
        <v>84</v>
      </c>
      <c r="B60" s="26">
        <v>0.42</v>
      </c>
      <c r="C60" s="26">
        <v>0.5</v>
      </c>
      <c r="D60" s="26">
        <v>0.33</v>
      </c>
      <c r="E60" s="13" t="s">
        <v>85</v>
      </c>
    </row>
    <row r="61" spans="1:5" ht="15" customHeight="1" x14ac:dyDescent="0.2">
      <c r="A61" s="16" t="s">
        <v>86</v>
      </c>
      <c r="B61" s="22">
        <v>0.65</v>
      </c>
      <c r="C61" s="23">
        <v>0.57999999999999996</v>
      </c>
      <c r="D61" s="24">
        <v>0.72</v>
      </c>
      <c r="E61" s="13" t="s">
        <v>87</v>
      </c>
    </row>
    <row r="62" spans="1:5" ht="15" customHeight="1" x14ac:dyDescent="0.2">
      <c r="A62" s="16" t="s">
        <v>88</v>
      </c>
      <c r="B62" s="26">
        <v>0.55000000000000004</v>
      </c>
      <c r="C62" s="26">
        <v>0.48</v>
      </c>
      <c r="D62" s="26">
        <v>0.65</v>
      </c>
      <c r="E62" s="13" t="s">
        <v>89</v>
      </c>
    </row>
    <row r="63" spans="1:5" ht="15" customHeight="1" x14ac:dyDescent="0.2">
      <c r="A63" s="16" t="s">
        <v>90</v>
      </c>
      <c r="B63" s="26">
        <v>0.48</v>
      </c>
      <c r="C63" s="26">
        <v>0.4</v>
      </c>
      <c r="D63" s="26">
        <v>0.57999999999999996</v>
      </c>
      <c r="E63" s="13"/>
    </row>
    <row r="64" spans="1:5" ht="15" customHeight="1" x14ac:dyDescent="0.2">
      <c r="A64" s="16" t="s">
        <v>91</v>
      </c>
      <c r="B64" s="26">
        <v>0.42</v>
      </c>
      <c r="C64" s="26">
        <v>0.34</v>
      </c>
      <c r="D64" s="26">
        <v>0.52</v>
      </c>
      <c r="E64" s="13"/>
    </row>
    <row r="65" spans="1:5" ht="15" customHeight="1" x14ac:dyDescent="0.2">
      <c r="A65" s="16" t="s">
        <v>92</v>
      </c>
      <c r="B65" s="26">
        <v>0.38</v>
      </c>
      <c r="C65" s="26">
        <v>0.3</v>
      </c>
      <c r="D65" s="26">
        <v>0.47</v>
      </c>
      <c r="E65" s="13"/>
    </row>
    <row r="66" spans="1:5" ht="15" customHeight="1" x14ac:dyDescent="0.2">
      <c r="A66" s="16" t="s">
        <v>93</v>
      </c>
      <c r="B66" s="26">
        <v>0.3</v>
      </c>
      <c r="C66" s="26">
        <v>0.24</v>
      </c>
      <c r="D66" s="26">
        <v>0.4</v>
      </c>
      <c r="E66" s="13" t="s">
        <v>94</v>
      </c>
    </row>
    <row r="67" spans="1:5" ht="15" customHeight="1" x14ac:dyDescent="0.2">
      <c r="A67" s="16" t="s">
        <v>95</v>
      </c>
      <c r="B67" s="26">
        <v>0.25</v>
      </c>
      <c r="C67" s="26">
        <v>0.2</v>
      </c>
      <c r="D67" s="26">
        <v>0.35</v>
      </c>
      <c r="E67" s="13" t="s">
        <v>96</v>
      </c>
    </row>
    <row r="68" spans="1:5" ht="15" customHeight="1" x14ac:dyDescent="0.2">
      <c r="A68" s="16" t="s">
        <v>97</v>
      </c>
      <c r="B68" s="22">
        <v>0.1</v>
      </c>
      <c r="C68" s="23">
        <v>0.12</v>
      </c>
      <c r="D68" s="24">
        <v>0.08</v>
      </c>
      <c r="E68" s="13" t="s">
        <v>98</v>
      </c>
    </row>
    <row r="69" spans="1:5" ht="15" customHeight="1" x14ac:dyDescent="0.2">
      <c r="A69" s="16" t="s">
        <v>99</v>
      </c>
      <c r="B69" s="22">
        <v>0.1</v>
      </c>
      <c r="C69" s="23">
        <v>0.09</v>
      </c>
      <c r="D69" s="24">
        <v>0.11</v>
      </c>
      <c r="E69" s="13" t="s">
        <v>100</v>
      </c>
    </row>
    <row r="70" spans="1:5" ht="15" customHeight="1" x14ac:dyDescent="0.2">
      <c r="A70" s="16" t="s">
        <v>101</v>
      </c>
      <c r="B70" s="22">
        <v>0.03</v>
      </c>
      <c r="C70" s="23">
        <v>0.02</v>
      </c>
      <c r="D70" s="24">
        <v>0.04</v>
      </c>
      <c r="E70" s="13" t="s">
        <v>102</v>
      </c>
    </row>
    <row r="71" spans="1:5" ht="15" customHeight="1" x14ac:dyDescent="0.2">
      <c r="A71" s="16" t="s">
        <v>103</v>
      </c>
      <c r="B71" s="26">
        <v>0.1</v>
      </c>
      <c r="C71" s="26">
        <v>0.09</v>
      </c>
      <c r="D71" s="26">
        <v>0.12</v>
      </c>
      <c r="E71" s="13" t="s">
        <v>104</v>
      </c>
    </row>
    <row r="72" spans="1:5" ht="15" customHeight="1" x14ac:dyDescent="0.2">
      <c r="A72" s="16" t="s">
        <v>105</v>
      </c>
      <c r="B72" s="26">
        <v>0.05</v>
      </c>
      <c r="C72" s="26">
        <v>0.03</v>
      </c>
      <c r="D72" s="26">
        <v>0.08</v>
      </c>
      <c r="E72" s="13" t="s">
        <v>106</v>
      </c>
    </row>
    <row r="73" spans="1:5" ht="15" customHeight="1" x14ac:dyDescent="0.2">
      <c r="A73" s="16" t="s">
        <v>107</v>
      </c>
      <c r="B73" s="26">
        <v>0</v>
      </c>
      <c r="C73" s="26">
        <v>0</v>
      </c>
      <c r="D73" s="26">
        <v>0.02</v>
      </c>
      <c r="E73" s="13" t="s">
        <v>108</v>
      </c>
    </row>
    <row r="74" spans="1:5" ht="15" customHeight="1" x14ac:dyDescent="0.2">
      <c r="A74" s="16" t="s">
        <v>109</v>
      </c>
      <c r="B74" s="22">
        <v>0.21</v>
      </c>
      <c r="C74" s="23">
        <v>0.21</v>
      </c>
      <c r="D74" s="24">
        <v>0.21</v>
      </c>
      <c r="E74" s="13" t="s">
        <v>110</v>
      </c>
    </row>
    <row r="77" spans="1:5" ht="15" customHeight="1" x14ac:dyDescent="0.2">
      <c r="A77" s="10" t="s">
        <v>111</v>
      </c>
      <c r="B77" s="10"/>
      <c r="C77" s="10"/>
      <c r="D77" s="10"/>
      <c r="E77" s="10"/>
    </row>
    <row r="78" spans="1:5" ht="15" customHeight="1" x14ac:dyDescent="0.2">
      <c r="A78" s="14" t="s">
        <v>48</v>
      </c>
      <c r="B78" s="15" t="s">
        <v>49</v>
      </c>
      <c r="C78" s="15" t="s">
        <v>50</v>
      </c>
      <c r="D78" s="15" t="s">
        <v>51</v>
      </c>
      <c r="E78" s="14" t="s">
        <v>7</v>
      </c>
    </row>
    <row r="79" spans="1:5" ht="15" customHeight="1" x14ac:dyDescent="0.2">
      <c r="A79" s="16" t="s">
        <v>112</v>
      </c>
      <c r="B79" s="26">
        <v>4.2999999999999997E-2</v>
      </c>
      <c r="C79" s="26">
        <v>0.04</v>
      </c>
      <c r="D79" s="26">
        <v>4.5999999999999999E-2</v>
      </c>
      <c r="E79" s="13" t="s">
        <v>113</v>
      </c>
    </row>
    <row r="80" spans="1:5" ht="15" customHeight="1" x14ac:dyDescent="0.2">
      <c r="A80" s="16" t="s">
        <v>114</v>
      </c>
      <c r="B80" s="26">
        <v>5.5E-2</v>
      </c>
      <c r="C80" s="26">
        <v>0.05</v>
      </c>
      <c r="D80" s="26">
        <v>0.06</v>
      </c>
      <c r="E80" s="13" t="s">
        <v>115</v>
      </c>
    </row>
    <row r="81" spans="1:5" ht="15" customHeight="1" x14ac:dyDescent="0.2">
      <c r="A81" s="16" t="s">
        <v>116</v>
      </c>
      <c r="B81" s="26">
        <v>2.2000000000000002</v>
      </c>
      <c r="C81" s="26">
        <v>1.9</v>
      </c>
      <c r="D81" s="26">
        <v>2.5</v>
      </c>
      <c r="E81" s="13" t="s">
        <v>117</v>
      </c>
    </row>
    <row r="82" spans="1:5" ht="15" customHeight="1" x14ac:dyDescent="0.2">
      <c r="A82" s="16" t="s">
        <v>118</v>
      </c>
      <c r="B82" s="26">
        <v>0.03</v>
      </c>
      <c r="C82" s="26">
        <v>0.02</v>
      </c>
      <c r="D82" s="26">
        <v>0.04</v>
      </c>
      <c r="E82" s="13" t="s">
        <v>119</v>
      </c>
    </row>
    <row r="83" spans="1:5" ht="15" customHeight="1" x14ac:dyDescent="0.2">
      <c r="A83" s="16" t="s">
        <v>120</v>
      </c>
      <c r="B83" s="19">
        <f>B79+B81*B80+B82</f>
        <v>0.19400000000000001</v>
      </c>
      <c r="C83" s="19">
        <f>C79+C81*C80+C82</f>
        <v>0.155</v>
      </c>
      <c r="D83" s="19">
        <f>D79+D81*D80+D82</f>
        <v>0.23600000000000002</v>
      </c>
      <c r="E83" s="13" t="s">
        <v>121</v>
      </c>
    </row>
    <row r="84" spans="1:5" ht="15" customHeight="1" x14ac:dyDescent="0.2">
      <c r="A84" s="16" t="s">
        <v>122</v>
      </c>
      <c r="B84" s="26">
        <v>0.06</v>
      </c>
      <c r="C84" s="26">
        <v>5.5E-2</v>
      </c>
      <c r="D84" s="26">
        <v>7.0000000000000007E-2</v>
      </c>
      <c r="E84" s="13" t="s">
        <v>123</v>
      </c>
    </row>
    <row r="85" spans="1:5" ht="15" customHeight="1" x14ac:dyDescent="0.2">
      <c r="A85" s="16" t="s">
        <v>124</v>
      </c>
      <c r="B85" s="26">
        <v>0.85</v>
      </c>
      <c r="C85" s="26">
        <v>0.9</v>
      </c>
      <c r="D85" s="26">
        <v>0.8</v>
      </c>
      <c r="E85" s="13" t="s">
        <v>125</v>
      </c>
    </row>
    <row r="86" spans="1:5" ht="15" customHeight="1" x14ac:dyDescent="0.2">
      <c r="A86" s="16" t="s">
        <v>126</v>
      </c>
      <c r="B86" s="19">
        <f>1-B85</f>
        <v>0.15000000000000002</v>
      </c>
      <c r="C86" s="19">
        <f>1-C85</f>
        <v>9.9999999999999978E-2</v>
      </c>
      <c r="D86" s="19">
        <f>1-D85</f>
        <v>0.19999999999999996</v>
      </c>
      <c r="E86" s="13" t="s">
        <v>127</v>
      </c>
    </row>
    <row r="87" spans="1:5" ht="15" customHeight="1" x14ac:dyDescent="0.2">
      <c r="A87" s="16" t="s">
        <v>128</v>
      </c>
      <c r="B87" s="27">
        <f>B83*B85+B84*(1-D74)*B86</f>
        <v>0.17201</v>
      </c>
      <c r="C87" s="19">
        <f>C83*C85+C84*(1-D74)*C86</f>
        <v>0.143845</v>
      </c>
      <c r="D87" s="19">
        <f>D83*D85+D84*(1-D74)*D86</f>
        <v>0.19986000000000001</v>
      </c>
      <c r="E87" s="13" t="s">
        <v>129</v>
      </c>
    </row>
    <row r="90" spans="1:5" ht="15" customHeight="1" x14ac:dyDescent="0.2">
      <c r="A90" s="10" t="s">
        <v>130</v>
      </c>
      <c r="B90" s="10"/>
      <c r="C90" s="10"/>
      <c r="D90" s="10"/>
      <c r="E90" s="10"/>
    </row>
    <row r="91" spans="1:5" ht="15" customHeight="1" x14ac:dyDescent="0.2">
      <c r="A91" s="14" t="s">
        <v>48</v>
      </c>
      <c r="B91" s="15" t="s">
        <v>49</v>
      </c>
      <c r="C91" s="15" t="s">
        <v>50</v>
      </c>
      <c r="D91" s="15" t="s">
        <v>51</v>
      </c>
      <c r="E91" s="14" t="s">
        <v>7</v>
      </c>
    </row>
    <row r="92" spans="1:5" ht="15" customHeight="1" x14ac:dyDescent="0.2">
      <c r="A92" s="16" t="s">
        <v>131</v>
      </c>
      <c r="B92" s="22">
        <v>0.03</v>
      </c>
      <c r="C92" s="23">
        <v>3.5000000000000003E-2</v>
      </c>
      <c r="D92" s="24">
        <v>2.5000000000000001E-2</v>
      </c>
      <c r="E92" s="13" t="s">
        <v>132</v>
      </c>
    </row>
    <row r="93" spans="1:5" ht="15" customHeight="1" x14ac:dyDescent="0.2">
      <c r="A93" s="16" t="s">
        <v>133</v>
      </c>
      <c r="B93" s="28">
        <v>15</v>
      </c>
      <c r="C93" s="29">
        <v>20</v>
      </c>
      <c r="D93" s="30">
        <v>10</v>
      </c>
      <c r="E93" s="13" t="s">
        <v>134</v>
      </c>
    </row>
    <row r="94" spans="1:5" ht="15" customHeight="1" x14ac:dyDescent="0.2">
      <c r="A94" s="16" t="s">
        <v>135</v>
      </c>
      <c r="B94" s="22">
        <v>0.2</v>
      </c>
      <c r="C94" s="23">
        <v>0.26</v>
      </c>
      <c r="D94" s="24">
        <v>0.14000000000000001</v>
      </c>
      <c r="E94" s="13" t="s">
        <v>136</v>
      </c>
    </row>
    <row r="97" spans="1:5" ht="15" customHeight="1" x14ac:dyDescent="0.2">
      <c r="A97" s="8" t="s">
        <v>137</v>
      </c>
      <c r="B97" s="8"/>
      <c r="C97" s="8"/>
      <c r="D97" s="8"/>
      <c r="E97" s="8"/>
    </row>
    <row r="98" spans="1:5" ht="15" customHeight="1" x14ac:dyDescent="0.2">
      <c r="A98" s="31" t="s">
        <v>138</v>
      </c>
      <c r="B98" s="31" t="s">
        <v>139</v>
      </c>
      <c r="C98" s="31" t="s">
        <v>140</v>
      </c>
      <c r="D98" s="31" t="s">
        <v>141</v>
      </c>
      <c r="E98" s="31" t="s">
        <v>142</v>
      </c>
    </row>
    <row r="99" spans="1:5" ht="27.75" customHeight="1" x14ac:dyDescent="0.2">
      <c r="A99" s="32" t="s">
        <v>143</v>
      </c>
      <c r="B99" s="33">
        <f>B79</f>
        <v>4.2999999999999997E-2</v>
      </c>
      <c r="C99" s="34" t="s">
        <v>144</v>
      </c>
      <c r="D99" s="35">
        <f>B79*B85</f>
        <v>3.6549999999999999E-2</v>
      </c>
      <c r="E99" s="36" t="s">
        <v>145</v>
      </c>
    </row>
    <row r="100" spans="1:5" ht="27.75" customHeight="1" x14ac:dyDescent="0.2">
      <c r="A100" s="32" t="s">
        <v>146</v>
      </c>
      <c r="B100" s="33">
        <f>B80</f>
        <v>5.5E-2</v>
      </c>
      <c r="C100" s="34" t="s">
        <v>147</v>
      </c>
      <c r="D100" s="35">
        <f>B81*B80*B85</f>
        <v>0.10285000000000001</v>
      </c>
      <c r="E100" s="36" t="s">
        <v>148</v>
      </c>
    </row>
    <row r="101" spans="1:5" ht="27.75" customHeight="1" x14ac:dyDescent="0.2">
      <c r="A101" s="37" t="s">
        <v>149</v>
      </c>
      <c r="B101" s="38">
        <f>B81</f>
        <v>2.2000000000000002</v>
      </c>
      <c r="C101" s="34" t="s">
        <v>150</v>
      </c>
      <c r="D101" s="35">
        <f>B81*B80*B85</f>
        <v>0.10285000000000001</v>
      </c>
      <c r="E101" s="39" t="s">
        <v>151</v>
      </c>
    </row>
    <row r="102" spans="1:5" ht="27.75" customHeight="1" x14ac:dyDescent="0.2">
      <c r="A102" s="32" t="s">
        <v>152</v>
      </c>
      <c r="B102" s="33">
        <f>B82</f>
        <v>0.03</v>
      </c>
      <c r="C102" s="34" t="s">
        <v>153</v>
      </c>
      <c r="D102" s="35">
        <f>B82*B85</f>
        <v>2.5499999999999998E-2</v>
      </c>
      <c r="E102" s="36" t="s">
        <v>154</v>
      </c>
    </row>
    <row r="103" spans="1:5" ht="27.75" customHeight="1" x14ac:dyDescent="0.2">
      <c r="A103" s="32" t="s">
        <v>155</v>
      </c>
      <c r="B103" s="33">
        <f>B83</f>
        <v>0.19400000000000001</v>
      </c>
      <c r="C103" s="34" t="s">
        <v>156</v>
      </c>
      <c r="D103" s="35">
        <f>B83*B85</f>
        <v>0.16489999999999999</v>
      </c>
      <c r="E103" s="36" t="s">
        <v>157</v>
      </c>
    </row>
    <row r="104" spans="1:5" ht="27.75" customHeight="1" x14ac:dyDescent="0.2">
      <c r="A104" s="32" t="s">
        <v>158</v>
      </c>
      <c r="B104" s="33">
        <f>B84</f>
        <v>0.06</v>
      </c>
      <c r="C104" s="34" t="s">
        <v>159</v>
      </c>
      <c r="D104" s="35">
        <f>B84*(1-D74)*B86</f>
        <v>7.1100000000000009E-3</v>
      </c>
      <c r="E104" s="36" t="s">
        <v>160</v>
      </c>
    </row>
    <row r="105" spans="1:5" ht="27.75" customHeight="1" x14ac:dyDescent="0.2">
      <c r="A105" s="40" t="s">
        <v>161</v>
      </c>
      <c r="B105" s="33">
        <f>B87</f>
        <v>0.17201</v>
      </c>
      <c r="C105" s="34" t="s">
        <v>162</v>
      </c>
      <c r="E105" s="36" t="s">
        <v>163</v>
      </c>
    </row>
    <row r="107" spans="1:5" ht="15" customHeight="1" x14ac:dyDescent="0.2">
      <c r="A107" s="7" t="s">
        <v>164</v>
      </c>
      <c r="B107" s="7"/>
      <c r="C107" s="7"/>
      <c r="D107" s="7"/>
      <c r="E107" s="7"/>
    </row>
    <row r="108" spans="1:5" ht="15" customHeight="1" x14ac:dyDescent="0.2">
      <c r="A108" s="41" t="s">
        <v>165</v>
      </c>
      <c r="B108" s="41" t="s">
        <v>166</v>
      </c>
      <c r="C108" s="41" t="s">
        <v>167</v>
      </c>
      <c r="D108" s="41" t="s">
        <v>168</v>
      </c>
      <c r="E108" s="41" t="s">
        <v>169</v>
      </c>
    </row>
    <row r="109" spans="1:5" ht="15" customHeight="1" x14ac:dyDescent="0.2">
      <c r="A109" s="42" t="s">
        <v>170</v>
      </c>
      <c r="B109" s="38">
        <f>B81</f>
        <v>2.2000000000000002</v>
      </c>
      <c r="C109" s="33">
        <f>B82</f>
        <v>0.03</v>
      </c>
      <c r="D109" s="43">
        <f>B87</f>
        <v>0.17201</v>
      </c>
      <c r="E109" s="34" t="s">
        <v>171</v>
      </c>
    </row>
    <row r="110" spans="1:5" ht="15" customHeight="1" x14ac:dyDescent="0.2">
      <c r="A110" s="32" t="s">
        <v>172</v>
      </c>
      <c r="B110" s="44">
        <v>1.6</v>
      </c>
      <c r="C110" s="45">
        <v>0.02</v>
      </c>
      <c r="D110" s="46">
        <f>(B79+1.6*B80+0.02)*B85+B84*(1-D74)*B86</f>
        <v>0.13546</v>
      </c>
      <c r="E110" s="34" t="s">
        <v>173</v>
      </c>
    </row>
    <row r="111" spans="1:5" ht="15" customHeight="1" x14ac:dyDescent="0.2">
      <c r="A111" s="32" t="s">
        <v>174</v>
      </c>
      <c r="B111" s="44">
        <v>1.3</v>
      </c>
      <c r="C111" s="45">
        <v>0.01</v>
      </c>
      <c r="D111" s="46">
        <f>(B79+1.3*B80+0.01)*B85+B84*(1-D74)*B86</f>
        <v>0.11293500000000001</v>
      </c>
      <c r="E111" s="34" t="s">
        <v>175</v>
      </c>
    </row>
    <row r="112" spans="1:5" ht="15" customHeight="1" x14ac:dyDescent="0.2">
      <c r="A112" s="32" t="s">
        <v>176</v>
      </c>
      <c r="B112" s="44">
        <v>1</v>
      </c>
      <c r="C112" s="45">
        <v>0</v>
      </c>
      <c r="D112" s="46">
        <f>(B79+1*B80+0)*B85+B84*(1-D74)*B86</f>
        <v>9.0410000000000004E-2</v>
      </c>
      <c r="E112" s="34" t="s">
        <v>177</v>
      </c>
    </row>
    <row r="113" spans="1:5" ht="15" customHeight="1" x14ac:dyDescent="0.2">
      <c r="A113" s="32" t="s">
        <v>178</v>
      </c>
      <c r="B113" s="44">
        <v>0.85</v>
      </c>
      <c r="C113" s="45">
        <v>0</v>
      </c>
      <c r="D113" s="46">
        <f>(B79+0.85*B80+0)*B85+B84*(1-D74)*B86</f>
        <v>8.3397499999999999E-2</v>
      </c>
      <c r="E113" s="34" t="s">
        <v>179</v>
      </c>
    </row>
  </sheetData>
  <mergeCells count="10">
    <mergeCell ref="A52:E52"/>
    <mergeCell ref="A77:E77"/>
    <mergeCell ref="A90:E90"/>
    <mergeCell ref="A97:E97"/>
    <mergeCell ref="A107:E107"/>
    <mergeCell ref="A1:E1"/>
    <mergeCell ref="A4:E4"/>
    <mergeCell ref="A22:E22"/>
    <mergeCell ref="A38:E38"/>
    <mergeCell ref="A49:E4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7"/>
  <sheetViews>
    <sheetView zoomScaleNormal="100" workbookViewId="0">
      <pane xSplit="2" ySplit="3" topLeftCell="C18" activePane="bottomRight" state="frozen"/>
      <selection pane="bottomLeft" activeCell="A4" sqref="A4"/>
      <selection pane="topRight" activeCell="C1" sqref="C1"/>
      <selection pane="bottomRight" activeCell="C65" sqref="C65"/>
    </sheetView>
  </sheetViews>
  <sheetFormatPr defaultColWidth="8.7421875" defaultRowHeight="15" x14ac:dyDescent="0.2"/>
  <cols>
    <col min="1" max="1" width="36.05078125" style="12" customWidth="1"/>
    <col min="2" max="2" width="13.98828125" style="12" customWidth="1"/>
    <col min="3" max="22" width="11.02734375" style="12" customWidth="1"/>
  </cols>
  <sheetData>
    <row r="1" spans="1:22" ht="27.75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5" customHeight="1" x14ac:dyDescent="0.2">
      <c r="A2" s="6" t="str">
        <f>IF(Assumptions!B50=1,"▶  ACTIVE: BASE CASE",IF(Assumptions!B50=2,"▶  ACTIVE: BULL CASE","▶  ACTIVE: BEAR CASE"))</f>
        <v>▶  ACTIVE: BASE CASE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30" customHeight="1" x14ac:dyDescent="0.2">
      <c r="A3" s="14" t="s">
        <v>181</v>
      </c>
      <c r="B3" s="47" t="s">
        <v>182</v>
      </c>
      <c r="C3" s="47" t="s">
        <v>183</v>
      </c>
      <c r="D3" s="15" t="s">
        <v>184</v>
      </c>
      <c r="E3" s="47" t="s">
        <v>185</v>
      </c>
      <c r="F3" s="15" t="s">
        <v>186</v>
      </c>
      <c r="G3" s="47" t="s">
        <v>187</v>
      </c>
      <c r="H3" s="15" t="s">
        <v>188</v>
      </c>
      <c r="I3" s="47" t="s">
        <v>189</v>
      </c>
      <c r="J3" s="15" t="s">
        <v>190</v>
      </c>
      <c r="K3" s="47" t="s">
        <v>191</v>
      </c>
      <c r="L3" s="15" t="s">
        <v>192</v>
      </c>
      <c r="M3" s="47" t="s">
        <v>193</v>
      </c>
      <c r="N3" s="15" t="s">
        <v>194</v>
      </c>
      <c r="O3" s="47" t="s">
        <v>195</v>
      </c>
      <c r="P3" s="15" t="s">
        <v>196</v>
      </c>
      <c r="Q3" s="47" t="s">
        <v>197</v>
      </c>
      <c r="R3" s="15" t="s">
        <v>198</v>
      </c>
      <c r="S3" s="47" t="s">
        <v>199</v>
      </c>
      <c r="T3" s="15" t="s">
        <v>200</v>
      </c>
      <c r="U3" s="47" t="s">
        <v>201</v>
      </c>
      <c r="V3" s="15" t="s">
        <v>202</v>
      </c>
    </row>
    <row r="4" spans="1:22" ht="15" customHeight="1" x14ac:dyDescent="0.2">
      <c r="A4" s="10" t="s">
        <v>203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5" customHeight="1" x14ac:dyDescent="0.2">
      <c r="A5" s="16" t="s">
        <v>204</v>
      </c>
      <c r="B5" s="48" t="s">
        <v>205</v>
      </c>
      <c r="C5" s="49">
        <f>CHOOSE(Assumptions!B50,Assumptions!B40,Assumptions!C40,Assumptions!D40)</f>
        <v>0.17</v>
      </c>
      <c r="D5" s="49">
        <f>CHOOSE(Assumptions!B50,Assumptions!B41,Assumptions!C41,Assumptions!D41)</f>
        <v>0.2</v>
      </c>
      <c r="E5" s="49">
        <f>CHOOSE(Assumptions!B50,Assumptions!B42,Assumptions!C42,Assumptions!D42)</f>
        <v>0.22</v>
      </c>
      <c r="F5" s="49">
        <f>CHOOSE(Assumptions!B50,Assumptions!B43,Assumptions!C43,Assumptions!D43)</f>
        <v>0.25</v>
      </c>
      <c r="G5" s="49">
        <f>CHOOSE(Assumptions!B50,Assumptions!B44,Assumptions!C44,Assumptions!D44)</f>
        <v>0.22</v>
      </c>
      <c r="H5" s="49">
        <f>CHOOSE(Assumptions!B50,Assumptions!B45,Assumptions!C45,Assumptions!D45)</f>
        <v>0.18</v>
      </c>
      <c r="I5" s="49">
        <f>CHOOSE(Assumptions!B50,Assumptions!B45,Assumptions!C45,Assumptions!D45)</f>
        <v>0.18</v>
      </c>
      <c r="J5" s="49">
        <f>CHOOSE(Assumptions!B50,Assumptions!B45,Assumptions!C45,Assumptions!D45)</f>
        <v>0.18</v>
      </c>
      <c r="K5" s="49">
        <f>CHOOSE(Assumptions!B50,Assumptions!B45,Assumptions!C45,Assumptions!D45)</f>
        <v>0.18</v>
      </c>
      <c r="L5" s="49">
        <f>CHOOSE(Assumptions!B50,Assumptions!B45,Assumptions!C45,Assumptions!D45)</f>
        <v>0.18</v>
      </c>
      <c r="M5" s="49">
        <f>CHOOSE(Assumptions!B50,Assumptions!B46,Assumptions!C46,Assumptions!D46)</f>
        <v>0.12</v>
      </c>
      <c r="N5" s="49">
        <f>CHOOSE(Assumptions!B50,Assumptions!B46,Assumptions!C46,Assumptions!D46)</f>
        <v>0.12</v>
      </c>
      <c r="O5" s="49">
        <f>CHOOSE(Assumptions!B50,Assumptions!B46,Assumptions!C46,Assumptions!D46)</f>
        <v>0.12</v>
      </c>
      <c r="P5" s="49">
        <f>CHOOSE(Assumptions!B50,Assumptions!B46,Assumptions!C46,Assumptions!D46)</f>
        <v>0.12</v>
      </c>
      <c r="Q5" s="49">
        <f>CHOOSE(Assumptions!B50,Assumptions!B46,Assumptions!C46,Assumptions!D46)</f>
        <v>0.12</v>
      </c>
      <c r="R5" s="49">
        <f>CHOOSE(Assumptions!B50,Assumptions!B47,Assumptions!C47,Assumptions!D47)</f>
        <v>0.08</v>
      </c>
      <c r="S5" s="49">
        <f>CHOOSE(Assumptions!B50,Assumptions!B47,Assumptions!C47,Assumptions!D47)</f>
        <v>0.08</v>
      </c>
      <c r="T5" s="49">
        <f>CHOOSE(Assumptions!B50,Assumptions!B47,Assumptions!C47,Assumptions!D47)</f>
        <v>0.08</v>
      </c>
      <c r="U5" s="49">
        <f>CHOOSE(Assumptions!B50,Assumptions!B47,Assumptions!C47,Assumptions!D47)</f>
        <v>0.08</v>
      </c>
      <c r="V5" s="49">
        <f>CHOOSE(Assumptions!B50,Assumptions!B47,Assumptions!C47,Assumptions!D47)</f>
        <v>0.08</v>
      </c>
    </row>
    <row r="6" spans="1:22" ht="15" customHeight="1" x14ac:dyDescent="0.2">
      <c r="A6" s="14" t="s">
        <v>206</v>
      </c>
      <c r="B6" s="50">
        <f>Assumptions!D6</f>
        <v>127672</v>
      </c>
      <c r="C6" s="18">
        <f>B6*(1+C5)</f>
        <v>149376.24</v>
      </c>
      <c r="D6" s="18">
        <f>C6*(1+D5)</f>
        <v>179251.48799999998</v>
      </c>
      <c r="E6" s="18">
        <f>D6*(1+E5)</f>
        <v>218686.81535999998</v>
      </c>
      <c r="F6" s="18">
        <f>E6*(1+F5)</f>
        <v>273358.51919999998</v>
      </c>
      <c r="G6" s="18">
        <f>F6*(1+G5)</f>
        <v>333497.39342399995</v>
      </c>
      <c r="H6" s="18">
        <f>G6*(1+H5)</f>
        <v>393526.92424031993</v>
      </c>
      <c r="I6" s="18">
        <f>H6*(1+I5)</f>
        <v>464361.77060357749</v>
      </c>
      <c r="J6" s="18">
        <f>I6*(1+J5)</f>
        <v>547946.88931222144</v>
      </c>
      <c r="K6" s="18">
        <f>J6*(1+K5)</f>
        <v>646577.32938842126</v>
      </c>
      <c r="L6" s="18">
        <f>K6*(1+L5)</f>
        <v>762961.24867833708</v>
      </c>
      <c r="M6" s="18">
        <f>L6*(1+M5)</f>
        <v>854516.5985197376</v>
      </c>
      <c r="N6" s="18">
        <f>M6*(1+N5)</f>
        <v>957058.59034210618</v>
      </c>
      <c r="O6" s="18">
        <f>N6*(1+O5)</f>
        <v>1071905.6211831591</v>
      </c>
      <c r="P6" s="18">
        <f>O6*(1+P5)</f>
        <v>1200534.2957251382</v>
      </c>
      <c r="Q6" s="18">
        <f>P6*(1+Q5)</f>
        <v>1344598.4112121549</v>
      </c>
      <c r="R6" s="18">
        <f>Q6*(1+R5)</f>
        <v>1452166.2841091275</v>
      </c>
      <c r="S6" s="18">
        <f>R6*(1+S5)</f>
        <v>1568339.5868378577</v>
      </c>
      <c r="T6" s="18">
        <f>S6*(1+T5)</f>
        <v>1693806.7537848866</v>
      </c>
      <c r="U6" s="18">
        <f>T6*(1+U5)</f>
        <v>1829311.2940876775</v>
      </c>
      <c r="V6" s="18">
        <f>U6*(1+V5)</f>
        <v>1975656.1976146919</v>
      </c>
    </row>
    <row r="7" spans="1:22" ht="15" customHeight="1" x14ac:dyDescent="0.2">
      <c r="A7" s="10" t="s">
        <v>207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" customHeight="1" x14ac:dyDescent="0.2">
      <c r="A8" s="16" t="s">
        <v>208</v>
      </c>
      <c r="B8" s="49">
        <f>Assumptions!D9</f>
        <v>0.22305595588696034</v>
      </c>
      <c r="C8" s="49">
        <f>CHOOSE(Assumptions!B50,Assumptions!B54,Assumptions!C54,Assumptions!D54)</f>
        <v>0.24</v>
      </c>
      <c r="D8" s="49">
        <f>CHOOSE(Assumptions!B50,Assumptions!B55,Assumptions!C55,Assumptions!D55)</f>
        <v>0.27</v>
      </c>
      <c r="E8" s="49">
        <f>CHOOSE(Assumptions!B50,Assumptions!B56,Assumptions!C56,Assumptions!D56)</f>
        <v>0.3</v>
      </c>
      <c r="F8" s="49">
        <f>CHOOSE(Assumptions!B50,Assumptions!B57,Assumptions!C57,Assumptions!D57)</f>
        <v>0.33</v>
      </c>
      <c r="G8" s="49">
        <f>CHOOSE(Assumptions!B50,Assumptions!B58,Assumptions!C58,Assumptions!D58)</f>
        <v>0.35</v>
      </c>
      <c r="H8" s="49">
        <f>CHOOSE(Assumptions!B50,Assumptions!B59,Assumptions!C59,Assumptions!D59)</f>
        <v>0.38</v>
      </c>
      <c r="I8" s="49">
        <f>CHOOSE(Assumptions!B50,Assumptions!B59,Assumptions!C59,Assumptions!D59)</f>
        <v>0.38</v>
      </c>
      <c r="J8" s="49">
        <f>CHOOSE(Assumptions!B50,Assumptions!B59,Assumptions!C59,Assumptions!D59)</f>
        <v>0.38</v>
      </c>
      <c r="K8" s="49">
        <f>CHOOSE(Assumptions!B50,Assumptions!B59,Assumptions!C59,Assumptions!D59)</f>
        <v>0.38</v>
      </c>
      <c r="L8" s="49">
        <f>CHOOSE(Assumptions!B50,Assumptions!B59,Assumptions!C59,Assumptions!D59)</f>
        <v>0.38</v>
      </c>
      <c r="M8" s="49">
        <f>CHOOSE(Assumptions!B50,Assumptions!B60,Assumptions!C60,Assumptions!D60)</f>
        <v>0.42</v>
      </c>
      <c r="N8" s="49">
        <f>CHOOSE(Assumptions!B50,Assumptions!B60,Assumptions!C60,Assumptions!D60)</f>
        <v>0.42</v>
      </c>
      <c r="O8" s="49">
        <f>CHOOSE(Assumptions!B50,Assumptions!B60,Assumptions!C60,Assumptions!D60)</f>
        <v>0.42</v>
      </c>
      <c r="P8" s="49">
        <f>CHOOSE(Assumptions!B50,Assumptions!B60,Assumptions!C60,Assumptions!D60)</f>
        <v>0.42</v>
      </c>
      <c r="Q8" s="49">
        <f>CHOOSE(Assumptions!B50,Assumptions!B60,Assumptions!C60,Assumptions!D60)</f>
        <v>0.42</v>
      </c>
      <c r="R8" s="49">
        <f>CHOOSE(Assumptions!B50,Assumptions!B60,Assumptions!C60,Assumptions!D60)</f>
        <v>0.42</v>
      </c>
      <c r="S8" s="49">
        <f>CHOOSE(Assumptions!B50,Assumptions!B60,Assumptions!C60,Assumptions!D60)</f>
        <v>0.42</v>
      </c>
      <c r="T8" s="49">
        <f>CHOOSE(Assumptions!B50,Assumptions!B60,Assumptions!C60,Assumptions!D60)</f>
        <v>0.42</v>
      </c>
      <c r="U8" s="49">
        <f>CHOOSE(Assumptions!B50,Assumptions!B60,Assumptions!C60,Assumptions!D60)</f>
        <v>0.42</v>
      </c>
      <c r="V8" s="49">
        <f>CHOOSE(Assumptions!B50,Assumptions!B60,Assumptions!C60,Assumptions!D60)</f>
        <v>0.42</v>
      </c>
    </row>
    <row r="9" spans="1:22" ht="15" customHeight="1" x14ac:dyDescent="0.2">
      <c r="A9" s="16" t="s">
        <v>209</v>
      </c>
      <c r="B9" s="50">
        <f>Assumptions!D8</f>
        <v>28478</v>
      </c>
      <c r="C9" s="18">
        <f>C6*C8</f>
        <v>35850.297599999998</v>
      </c>
      <c r="D9" s="18">
        <f>D6*D8</f>
        <v>48397.901760000001</v>
      </c>
      <c r="E9" s="18">
        <f>E6*E8</f>
        <v>65606.044607999997</v>
      </c>
      <c r="F9" s="18">
        <f>F6*F8</f>
        <v>90208.311335999999</v>
      </c>
      <c r="G9" s="18">
        <f>G6*G8</f>
        <v>116724.08769839998</v>
      </c>
      <c r="H9" s="18">
        <f>H6*H8</f>
        <v>149540.23121132157</v>
      </c>
      <c r="I9" s="18">
        <f>I6*I8</f>
        <v>176457.47282935944</v>
      </c>
      <c r="J9" s="18">
        <f>J6*J8</f>
        <v>208219.81793864415</v>
      </c>
      <c r="K9" s="18">
        <f>K6*K8</f>
        <v>245699.38516760009</v>
      </c>
      <c r="L9" s="18">
        <f>L6*L8</f>
        <v>289925.27449776808</v>
      </c>
      <c r="M9" s="18">
        <f>M6*M8</f>
        <v>358896.9713782898</v>
      </c>
      <c r="N9" s="18">
        <f>N6*N8</f>
        <v>401964.60794368456</v>
      </c>
      <c r="O9" s="18">
        <f>O6*O8</f>
        <v>450200.36089692678</v>
      </c>
      <c r="P9" s="18">
        <f>P6*P8</f>
        <v>504224.404204558</v>
      </c>
      <c r="Q9" s="18">
        <f>Q6*Q8</f>
        <v>564731.33270910499</v>
      </c>
      <c r="R9" s="18">
        <f>R6*R8</f>
        <v>609909.83932583348</v>
      </c>
      <c r="S9" s="18">
        <f>S6*S8</f>
        <v>658702.62647190026</v>
      </c>
      <c r="T9" s="18">
        <f>T6*T8</f>
        <v>711398.83658965235</v>
      </c>
      <c r="U9" s="18">
        <f>U6*U8</f>
        <v>768310.74351682456</v>
      </c>
      <c r="V9" s="18">
        <f>V6*V8</f>
        <v>829775.60299817054</v>
      </c>
    </row>
    <row r="10" spans="1:22" ht="15" customHeight="1" x14ac:dyDescent="0.2">
      <c r="A10" s="16" t="s">
        <v>210</v>
      </c>
      <c r="B10" s="19">
        <f>Assumptions!D10/Assumptions!D6</f>
        <v>0.74512814086095625</v>
      </c>
      <c r="C10" s="49">
        <f>CHOOSE(Assumptions!B50,Assumptions!B61,Assumptions!C61,Assumptions!D61)</f>
        <v>0.65</v>
      </c>
      <c r="D10" s="49">
        <f>CHOOSE(Assumptions!B50,Assumptions!B62,Assumptions!C62,Assumptions!D62)</f>
        <v>0.55000000000000004</v>
      </c>
      <c r="E10" s="49">
        <f>CHOOSE(Assumptions!B50,Assumptions!B63,Assumptions!C63,Assumptions!D63)</f>
        <v>0.48</v>
      </c>
      <c r="F10" s="49">
        <f>CHOOSE(Assumptions!B50,Assumptions!B64,Assumptions!C64,Assumptions!D64)</f>
        <v>0.42</v>
      </c>
      <c r="G10" s="49">
        <f>CHOOSE(Assumptions!B50,Assumptions!B65,Assumptions!C65,Assumptions!D65)</f>
        <v>0.38</v>
      </c>
      <c r="H10" s="49">
        <f>CHOOSE(Assumptions!B50,Assumptions!B66,Assumptions!C66,Assumptions!D66)</f>
        <v>0.3</v>
      </c>
      <c r="I10" s="49">
        <f>CHOOSE(Assumptions!B50,Assumptions!B66,Assumptions!C66,Assumptions!D66)</f>
        <v>0.3</v>
      </c>
      <c r="J10" s="49">
        <f>CHOOSE(Assumptions!B50,Assumptions!B66,Assumptions!C66,Assumptions!D66)</f>
        <v>0.3</v>
      </c>
      <c r="K10" s="49">
        <f>CHOOSE(Assumptions!B50,Assumptions!B66,Assumptions!C66,Assumptions!D66)</f>
        <v>0.3</v>
      </c>
      <c r="L10" s="49">
        <f>CHOOSE(Assumptions!B50,Assumptions!B66,Assumptions!C66,Assumptions!D66)</f>
        <v>0.3</v>
      </c>
      <c r="M10" s="49">
        <f>CHOOSE(Assumptions!B50,Assumptions!B67,Assumptions!C67,Assumptions!D67)</f>
        <v>0.25</v>
      </c>
      <c r="N10" s="49">
        <f>CHOOSE(Assumptions!B50,Assumptions!B67,Assumptions!C67,Assumptions!D67)</f>
        <v>0.25</v>
      </c>
      <c r="O10" s="49">
        <f>CHOOSE(Assumptions!B50,Assumptions!B67,Assumptions!C67,Assumptions!D67)</f>
        <v>0.25</v>
      </c>
      <c r="P10" s="49">
        <f>CHOOSE(Assumptions!B50,Assumptions!B67,Assumptions!C67,Assumptions!D67)</f>
        <v>0.25</v>
      </c>
      <c r="Q10" s="49">
        <f>CHOOSE(Assumptions!B50,Assumptions!B67,Assumptions!C67,Assumptions!D67)</f>
        <v>0.25</v>
      </c>
      <c r="R10" s="49">
        <f>CHOOSE(Assumptions!B50,Assumptions!B67,Assumptions!C67,Assumptions!D67)</f>
        <v>0.25</v>
      </c>
      <c r="S10" s="49">
        <f>CHOOSE(Assumptions!B50,Assumptions!B67,Assumptions!C67,Assumptions!D67)</f>
        <v>0.25</v>
      </c>
      <c r="T10" s="49">
        <f>CHOOSE(Assumptions!B50,Assumptions!B67,Assumptions!C67,Assumptions!D67)</f>
        <v>0.25</v>
      </c>
      <c r="U10" s="49">
        <f>CHOOSE(Assumptions!B50,Assumptions!B67,Assumptions!C67,Assumptions!D67)</f>
        <v>0.25</v>
      </c>
      <c r="V10" s="49">
        <f>CHOOSE(Assumptions!B50,Assumptions!B67,Assumptions!C67,Assumptions!D67)</f>
        <v>0.25</v>
      </c>
    </row>
    <row r="11" spans="1:22" ht="15" customHeight="1" x14ac:dyDescent="0.2">
      <c r="A11" s="16" t="s">
        <v>211</v>
      </c>
      <c r="B11" s="50">
        <f>Assumptions!D10</f>
        <v>95132</v>
      </c>
      <c r="C11" s="18">
        <f>C6*C10</f>
        <v>97094.555999999997</v>
      </c>
      <c r="D11" s="18">
        <f>D6*D10</f>
        <v>98588.318400000004</v>
      </c>
      <c r="E11" s="18">
        <f>E6*E10</f>
        <v>104969.67137279999</v>
      </c>
      <c r="F11" s="18">
        <f>F6*F10</f>
        <v>114810.57806399999</v>
      </c>
      <c r="G11" s="18">
        <f>G6*G10</f>
        <v>126729.00950111999</v>
      </c>
      <c r="H11" s="18">
        <f>H6*H10</f>
        <v>118058.07727209598</v>
      </c>
      <c r="I11" s="18">
        <f>I6*I10</f>
        <v>139308.53118107325</v>
      </c>
      <c r="J11" s="18">
        <f>J6*J10</f>
        <v>164384.06679366642</v>
      </c>
      <c r="K11" s="18">
        <f>K6*K10</f>
        <v>193973.19881652636</v>
      </c>
      <c r="L11" s="18">
        <f>L6*L10</f>
        <v>228888.37460350111</v>
      </c>
      <c r="M11" s="18">
        <f>M6*M10</f>
        <v>213629.1496299344</v>
      </c>
      <c r="N11" s="18">
        <f>N6*N10</f>
        <v>239264.64758552655</v>
      </c>
      <c r="O11" s="18">
        <f>O6*O10</f>
        <v>267976.40529578977</v>
      </c>
      <c r="P11" s="18">
        <f>P6*P10</f>
        <v>300133.57393128454</v>
      </c>
      <c r="Q11" s="18">
        <f>Q6*Q10</f>
        <v>336149.60280303872</v>
      </c>
      <c r="R11" s="18">
        <f>R6*R10</f>
        <v>363041.57102728187</v>
      </c>
      <c r="S11" s="18">
        <f>S6*S10</f>
        <v>392084.89670946443</v>
      </c>
      <c r="T11" s="18">
        <f>T6*T10</f>
        <v>423451.68844622164</v>
      </c>
      <c r="U11" s="18">
        <f>U6*U10</f>
        <v>457327.82352191937</v>
      </c>
      <c r="V11" s="18">
        <f>V6*V10</f>
        <v>493914.04940367298</v>
      </c>
    </row>
    <row r="12" spans="1:22" ht="15" customHeight="1" x14ac:dyDescent="0.2">
      <c r="A12" s="16" t="s">
        <v>212</v>
      </c>
      <c r="B12" s="19">
        <f>Assumptions!D11/Assumptions!D6</f>
        <v>0.1312112287737327</v>
      </c>
      <c r="C12" s="49">
        <f>CHOOSE(Assumptions!B50,Assumptions!B68,Assumptions!C68,Assumptions!D68)</f>
        <v>0.1</v>
      </c>
      <c r="D12" s="49">
        <f>CHOOSE(Assumptions!B50,Assumptions!B68,Assumptions!C68,Assumptions!D68)</f>
        <v>0.1</v>
      </c>
      <c r="E12" s="49">
        <f>CHOOSE(Assumptions!B50,Assumptions!B68,Assumptions!C68,Assumptions!D68)</f>
        <v>0.1</v>
      </c>
      <c r="F12" s="49">
        <f>CHOOSE(Assumptions!B50,Assumptions!B68,Assumptions!C68,Assumptions!D68)</f>
        <v>0.1</v>
      </c>
      <c r="G12" s="49">
        <f>CHOOSE(Assumptions!B50,Assumptions!B68,Assumptions!C68,Assumptions!D68)</f>
        <v>0.1</v>
      </c>
      <c r="H12" s="49">
        <f>CHOOSE(Assumptions!B50,Assumptions!B68,Assumptions!C68,Assumptions!D68)</f>
        <v>0.1</v>
      </c>
      <c r="I12" s="49">
        <f>CHOOSE(Assumptions!B50,Assumptions!B68,Assumptions!C68,Assumptions!D68)</f>
        <v>0.1</v>
      </c>
      <c r="J12" s="49">
        <f>CHOOSE(Assumptions!B50,Assumptions!B68,Assumptions!C68,Assumptions!D68)</f>
        <v>0.1</v>
      </c>
      <c r="K12" s="49">
        <f>CHOOSE(Assumptions!B50,Assumptions!B68,Assumptions!C68,Assumptions!D68)</f>
        <v>0.1</v>
      </c>
      <c r="L12" s="49">
        <f>CHOOSE(Assumptions!B50,Assumptions!B68,Assumptions!C68,Assumptions!D68)</f>
        <v>0.1</v>
      </c>
      <c r="M12" s="49">
        <f>CHOOSE(Assumptions!B50,Assumptions!B68,Assumptions!C68,Assumptions!D68)</f>
        <v>0.1</v>
      </c>
      <c r="N12" s="49">
        <f>CHOOSE(Assumptions!B50,Assumptions!B68,Assumptions!C68,Assumptions!D68)</f>
        <v>0.1</v>
      </c>
      <c r="O12" s="49">
        <f>CHOOSE(Assumptions!B50,Assumptions!B68,Assumptions!C68,Assumptions!D68)</f>
        <v>0.1</v>
      </c>
      <c r="P12" s="49">
        <f>CHOOSE(Assumptions!B50,Assumptions!B68,Assumptions!C68,Assumptions!D68)</f>
        <v>0.1</v>
      </c>
      <c r="Q12" s="49">
        <f>CHOOSE(Assumptions!B50,Assumptions!B68,Assumptions!C68,Assumptions!D68)</f>
        <v>0.1</v>
      </c>
      <c r="R12" s="49">
        <f>CHOOSE(Assumptions!B50,Assumptions!B68,Assumptions!C68,Assumptions!D68)</f>
        <v>0.1</v>
      </c>
      <c r="S12" s="49">
        <f>CHOOSE(Assumptions!B50,Assumptions!B68,Assumptions!C68,Assumptions!D68)</f>
        <v>0.1</v>
      </c>
      <c r="T12" s="49">
        <f>CHOOSE(Assumptions!B50,Assumptions!B68,Assumptions!C68,Assumptions!D68)</f>
        <v>0.1</v>
      </c>
      <c r="U12" s="49">
        <f>CHOOSE(Assumptions!B50,Assumptions!B68,Assumptions!C68,Assumptions!D68)</f>
        <v>0.1</v>
      </c>
      <c r="V12" s="49">
        <f>CHOOSE(Assumptions!B50,Assumptions!B68,Assumptions!C68,Assumptions!D68)</f>
        <v>0.1</v>
      </c>
    </row>
    <row r="13" spans="1:22" ht="15" customHeight="1" x14ac:dyDescent="0.2">
      <c r="A13" s="16" t="s">
        <v>213</v>
      </c>
      <c r="B13" s="50">
        <f>Assumptions!D11</f>
        <v>16752</v>
      </c>
      <c r="C13" s="18">
        <f>C6*C12</f>
        <v>14937.624</v>
      </c>
      <c r="D13" s="18">
        <f>D6*D12</f>
        <v>17925.148799999999</v>
      </c>
      <c r="E13" s="18">
        <f>E6*E12</f>
        <v>21868.681536</v>
      </c>
      <c r="F13" s="18">
        <f>F6*F12</f>
        <v>27335.851920000001</v>
      </c>
      <c r="G13" s="18">
        <f>G6*G12</f>
        <v>33349.739342399997</v>
      </c>
      <c r="H13" s="18">
        <f>H6*H12</f>
        <v>39352.692424031993</v>
      </c>
      <c r="I13" s="18">
        <f>I6*I12</f>
        <v>46436.177060357753</v>
      </c>
      <c r="J13" s="18">
        <f>J6*J12</f>
        <v>54794.688931222146</v>
      </c>
      <c r="K13" s="18">
        <f>K6*K12</f>
        <v>64657.732938842128</v>
      </c>
      <c r="L13" s="18">
        <f>L6*L12</f>
        <v>76296.124867833714</v>
      </c>
      <c r="M13" s="18">
        <f>M6*M12</f>
        <v>85451.65985197376</v>
      </c>
      <c r="N13" s="18">
        <f>N6*N12</f>
        <v>95705.859034210618</v>
      </c>
      <c r="O13" s="18">
        <f>O6*O12</f>
        <v>107190.56211831591</v>
      </c>
      <c r="P13" s="18">
        <f>P6*P12</f>
        <v>120053.42957251382</v>
      </c>
      <c r="Q13" s="18">
        <f>Q6*Q12</f>
        <v>134459.84112121549</v>
      </c>
      <c r="R13" s="18">
        <f>R6*R12</f>
        <v>145216.62841091276</v>
      </c>
      <c r="S13" s="18">
        <f>S6*S12</f>
        <v>156833.95868378578</v>
      </c>
      <c r="T13" s="18">
        <f>T6*T12</f>
        <v>169380.67537848867</v>
      </c>
      <c r="U13" s="18">
        <f>U6*U12</f>
        <v>182931.12940876777</v>
      </c>
      <c r="V13" s="18">
        <f>V6*V12</f>
        <v>197565.61976146919</v>
      </c>
    </row>
    <row r="14" spans="1:22" ht="15" customHeight="1" x14ac:dyDescent="0.2">
      <c r="A14" s="14" t="s">
        <v>214</v>
      </c>
      <c r="B14" s="50">
        <f>Assumptions!D12</f>
        <v>-213897</v>
      </c>
      <c r="C14" s="18">
        <f>C9-C11-C13</f>
        <v>-76181.882400000002</v>
      </c>
      <c r="D14" s="18">
        <f>D9-D11-D13</f>
        <v>-68115.565440000006</v>
      </c>
      <c r="E14" s="18">
        <f>E9-E11-E13</f>
        <v>-61232.308300799996</v>
      </c>
      <c r="F14" s="18">
        <f>F9-F11-F13</f>
        <v>-51938.118647999989</v>
      </c>
      <c r="G14" s="18">
        <f>G9-G11-G13</f>
        <v>-43354.661145120008</v>
      </c>
      <c r="H14" s="18">
        <f>H9-H11-H13</f>
        <v>-7870.5384848063986</v>
      </c>
      <c r="I14" s="18">
        <f>I9-I11-I13</f>
        <v>-9287.2354120715681</v>
      </c>
      <c r="J14" s="18">
        <f>J9-J11-J13</f>
        <v>-10958.937786244423</v>
      </c>
      <c r="K14" s="18">
        <f>K9-K11-K13</f>
        <v>-12931.546587768396</v>
      </c>
      <c r="L14" s="18">
        <f>L9-L11-L13</f>
        <v>-15259.224973566743</v>
      </c>
      <c r="M14" s="18">
        <f>M9-M11-M13</f>
        <v>59816.161896381644</v>
      </c>
      <c r="N14" s="18">
        <f>N9-N11-N13</f>
        <v>66994.101323947398</v>
      </c>
      <c r="O14" s="18">
        <f>O9-O11-O13</f>
        <v>75033.393482821106</v>
      </c>
      <c r="P14" s="18">
        <f>P9-P11-P13</f>
        <v>84037.400700759637</v>
      </c>
      <c r="Q14" s="18">
        <f>Q9-Q11-Q13</f>
        <v>94121.888784850773</v>
      </c>
      <c r="R14" s="18">
        <f>R9-R11-R13</f>
        <v>101651.63988763886</v>
      </c>
      <c r="S14" s="18">
        <f>S9-S11-S13</f>
        <v>109783.77107865005</v>
      </c>
      <c r="T14" s="18">
        <f>T9-T11-T13</f>
        <v>118566.47276494204</v>
      </c>
      <c r="U14" s="18">
        <f>U9-U11-U13</f>
        <v>128051.79058613742</v>
      </c>
      <c r="V14" s="18">
        <f>V9-V11-V13</f>
        <v>138295.93383302836</v>
      </c>
    </row>
    <row r="15" spans="1:22" ht="15" customHeight="1" x14ac:dyDescent="0.2">
      <c r="A15" s="16" t="s">
        <v>215</v>
      </c>
      <c r="B15" s="19">
        <f>Assumptions!D12/Assumptions!D6</f>
        <v>-1.6753634312926875</v>
      </c>
      <c r="C15" s="19">
        <f>C14/C6</f>
        <v>-0.51</v>
      </c>
      <c r="D15" s="19">
        <f>D14/D6</f>
        <v>-0.38000000000000006</v>
      </c>
      <c r="E15" s="19">
        <f>E14/E6</f>
        <v>-0.28000000000000003</v>
      </c>
      <c r="F15" s="19">
        <f>F14/F6</f>
        <v>-0.18999999999999997</v>
      </c>
      <c r="G15" s="19">
        <f>G14/G6</f>
        <v>-0.13000000000000003</v>
      </c>
      <c r="H15" s="19">
        <f>H14/H6</f>
        <v>-0.02</v>
      </c>
      <c r="I15" s="19">
        <f>I14/I6</f>
        <v>-2.0000000000000039E-2</v>
      </c>
      <c r="J15" s="19">
        <f>J14/J6</f>
        <v>-1.999999999999999E-2</v>
      </c>
      <c r="K15" s="19">
        <f>K14/K6</f>
        <v>-1.9999999999999955E-2</v>
      </c>
      <c r="L15" s="19">
        <f>L14/L6</f>
        <v>-0.02</v>
      </c>
      <c r="M15" s="19">
        <f>M14/M6</f>
        <v>7.0000000000000021E-2</v>
      </c>
      <c r="N15" s="19">
        <f>N14/N6</f>
        <v>6.9999999999999965E-2</v>
      </c>
      <c r="O15" s="19">
        <f>O14/O6</f>
        <v>6.9999999999999979E-2</v>
      </c>
      <c r="P15" s="19">
        <f>P14/P6</f>
        <v>6.9999999999999965E-2</v>
      </c>
      <c r="Q15" s="19">
        <f>Q14/Q6</f>
        <v>6.9999999999999951E-2</v>
      </c>
      <c r="R15" s="19">
        <f>R14/R6</f>
        <v>6.9999999999999951E-2</v>
      </c>
      <c r="S15" s="19">
        <f>S14/S6</f>
        <v>7.0000000000000007E-2</v>
      </c>
      <c r="T15" s="19">
        <f>T14/T6</f>
        <v>6.9999999999999993E-2</v>
      </c>
      <c r="U15" s="19">
        <f>U14/U6</f>
        <v>6.9999999999999993E-2</v>
      </c>
      <c r="V15" s="19">
        <f>V14/V6</f>
        <v>6.9999999999999965E-2</v>
      </c>
    </row>
    <row r="16" spans="1:22" ht="15" customHeight="1" x14ac:dyDescent="0.2">
      <c r="A16" s="16" t="s">
        <v>216</v>
      </c>
      <c r="B16" s="49">
        <f>0</f>
        <v>0</v>
      </c>
      <c r="C16" s="49">
        <f>CHOOSE(Assumptions!B50,Assumptions!B73,Assumptions!C73,Assumptions!D73)</f>
        <v>0</v>
      </c>
      <c r="D16" s="49">
        <f>CHOOSE(Assumptions!B50,Assumptions!B73,Assumptions!C73,Assumptions!D73)</f>
        <v>0</v>
      </c>
      <c r="E16" s="49">
        <f>CHOOSE(Assumptions!B50,Assumptions!B73,Assumptions!C73,Assumptions!D73)</f>
        <v>0</v>
      </c>
      <c r="F16" s="49">
        <f>CHOOSE(Assumptions!B50,Assumptions!B73,Assumptions!C73,Assumptions!D73)</f>
        <v>0</v>
      </c>
      <c r="G16" s="49">
        <f>CHOOSE(Assumptions!B50,Assumptions!B73,Assumptions!C73,Assumptions!D73)</f>
        <v>0</v>
      </c>
      <c r="H16" s="49">
        <f>CHOOSE(Assumptions!B50,Assumptions!B73,Assumptions!C73,Assumptions!D73)</f>
        <v>0</v>
      </c>
      <c r="I16" s="49">
        <f>CHOOSE(Assumptions!B50,Assumptions!B73,Assumptions!C73,Assumptions!D73)</f>
        <v>0</v>
      </c>
      <c r="J16" s="49">
        <f>CHOOSE(Assumptions!B50,Assumptions!B73,Assumptions!C73,Assumptions!D73)</f>
        <v>0</v>
      </c>
      <c r="K16" s="49">
        <f>CHOOSE(Assumptions!B50,Assumptions!B73,Assumptions!C73,Assumptions!D73)</f>
        <v>0</v>
      </c>
      <c r="L16" s="49">
        <f>CHOOSE(Assumptions!B50,Assumptions!B73,Assumptions!C73,Assumptions!D73)</f>
        <v>0</v>
      </c>
      <c r="M16" s="49">
        <f>CHOOSE(Assumptions!B50,Assumptions!B73,Assumptions!C73,Assumptions!D73)</f>
        <v>0</v>
      </c>
      <c r="N16" s="49">
        <f>CHOOSE(Assumptions!B50,Assumptions!B73,Assumptions!C73,Assumptions!D73)</f>
        <v>0</v>
      </c>
      <c r="O16" s="49">
        <f>CHOOSE(Assumptions!B50,Assumptions!B73,Assumptions!C73,Assumptions!D73)</f>
        <v>0</v>
      </c>
      <c r="P16" s="49">
        <f>CHOOSE(Assumptions!B50,Assumptions!B73,Assumptions!C73,Assumptions!D73)</f>
        <v>0</v>
      </c>
      <c r="Q16" s="49">
        <f>CHOOSE(Assumptions!B50,Assumptions!B73,Assumptions!C73,Assumptions!D73)</f>
        <v>0</v>
      </c>
      <c r="R16" s="49">
        <f>CHOOSE(Assumptions!B50,Assumptions!B73,Assumptions!C73,Assumptions!D73)</f>
        <v>0</v>
      </c>
      <c r="S16" s="49">
        <f>CHOOSE(Assumptions!B50,Assumptions!B73,Assumptions!C73,Assumptions!D73)</f>
        <v>0</v>
      </c>
      <c r="T16" s="49">
        <f>CHOOSE(Assumptions!B50,Assumptions!B73,Assumptions!C73,Assumptions!D73)</f>
        <v>0</v>
      </c>
      <c r="U16" s="49">
        <f>CHOOSE(Assumptions!B50,Assumptions!B73,Assumptions!C73,Assumptions!D73)</f>
        <v>0</v>
      </c>
      <c r="V16" s="49">
        <f>CHOOSE(Assumptions!B50,Assumptions!B73,Assumptions!C73,Assumptions!D73)</f>
        <v>0</v>
      </c>
    </row>
    <row r="17" spans="1:22" ht="15" customHeight="1" x14ac:dyDescent="0.2">
      <c r="A17" s="14" t="s">
        <v>217</v>
      </c>
      <c r="B17" s="18">
        <f>B14*(1-B16)</f>
        <v>-213897</v>
      </c>
      <c r="C17" s="18">
        <f>C14*(1-C16)</f>
        <v>-76181.882400000002</v>
      </c>
      <c r="D17" s="18">
        <f>D14*(1-D16)</f>
        <v>-68115.565440000006</v>
      </c>
      <c r="E17" s="18">
        <f>E14*(1-E16)</f>
        <v>-61232.308300799996</v>
      </c>
      <c r="F17" s="18">
        <f>F14*(1-F16)</f>
        <v>-51938.118647999989</v>
      </c>
      <c r="G17" s="18">
        <f>G14*(1-G16)</f>
        <v>-43354.661145120008</v>
      </c>
      <c r="H17" s="18">
        <f>H14*(1-H16)</f>
        <v>-7870.5384848063986</v>
      </c>
      <c r="I17" s="18">
        <f>I14*(1-I16)</f>
        <v>-9287.2354120715681</v>
      </c>
      <c r="J17" s="18">
        <f>J14*(1-J16)</f>
        <v>-10958.937786244423</v>
      </c>
      <c r="K17" s="18">
        <f>K14*(1-K16)</f>
        <v>-12931.546587768396</v>
      </c>
      <c r="L17" s="18">
        <f>L14*(1-L16)</f>
        <v>-15259.224973566743</v>
      </c>
      <c r="M17" s="18">
        <f>M14*(1-M16)</f>
        <v>59816.161896381644</v>
      </c>
      <c r="N17" s="18">
        <f>N14*(1-N16)</f>
        <v>66994.101323947398</v>
      </c>
      <c r="O17" s="18">
        <f>O14*(1-O16)</f>
        <v>75033.393482821106</v>
      </c>
      <c r="P17" s="18">
        <f>P14*(1-P16)</f>
        <v>84037.400700759637</v>
      </c>
      <c r="Q17" s="18">
        <f>Q14*(1-Q16)</f>
        <v>94121.888784850773</v>
      </c>
      <c r="R17" s="18">
        <f>R14*(1-R16)</f>
        <v>101651.63988763886</v>
      </c>
      <c r="S17" s="18">
        <f>S14*(1-S16)</f>
        <v>109783.77107865005</v>
      </c>
      <c r="T17" s="18">
        <f>T14*(1-T16)</f>
        <v>118566.47276494204</v>
      </c>
      <c r="U17" s="18">
        <f>U14*(1-U16)</f>
        <v>128051.79058613742</v>
      </c>
      <c r="V17" s="18">
        <f>V14*(1-V16)</f>
        <v>138295.93383302836</v>
      </c>
    </row>
    <row r="18" spans="1:22" ht="15" customHeight="1" x14ac:dyDescent="0.2">
      <c r="A18" s="10" t="s">
        <v>218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" customHeight="1" x14ac:dyDescent="0.2">
      <c r="A19" s="16" t="s">
        <v>219</v>
      </c>
      <c r="B19" s="19">
        <f>Assumptions!D13/Assumptions!D6</f>
        <v>0.11968951688702299</v>
      </c>
      <c r="C19" s="49">
        <f>CHOOSE(Assumptions!B50,Assumptions!B69,Assumptions!C69,Assumptions!D69)</f>
        <v>0.1</v>
      </c>
      <c r="D19" s="49">
        <f>CHOOSE(Assumptions!B50,Assumptions!B69,Assumptions!C69,Assumptions!D69)</f>
        <v>0.1</v>
      </c>
      <c r="E19" s="49">
        <f>CHOOSE(Assumptions!B50,Assumptions!B69,Assumptions!C69,Assumptions!D69)</f>
        <v>0.1</v>
      </c>
      <c r="F19" s="49">
        <f>CHOOSE(Assumptions!B50,Assumptions!B69,Assumptions!C69,Assumptions!D69)</f>
        <v>0.1</v>
      </c>
      <c r="G19" s="49">
        <f>CHOOSE(Assumptions!B50,Assumptions!B69,Assumptions!C69,Assumptions!D69)</f>
        <v>0.1</v>
      </c>
      <c r="H19" s="49">
        <f>CHOOSE(Assumptions!B50,Assumptions!B69,Assumptions!C69,Assumptions!D69)</f>
        <v>0.1</v>
      </c>
      <c r="I19" s="49">
        <f>CHOOSE(Assumptions!B50,Assumptions!B69,Assumptions!C69,Assumptions!D69)</f>
        <v>0.1</v>
      </c>
      <c r="J19" s="49">
        <f>CHOOSE(Assumptions!B50,Assumptions!B69,Assumptions!C69,Assumptions!D69)</f>
        <v>0.1</v>
      </c>
      <c r="K19" s="49">
        <f>CHOOSE(Assumptions!B50,Assumptions!B69,Assumptions!C69,Assumptions!D69)</f>
        <v>0.1</v>
      </c>
      <c r="L19" s="49">
        <f>CHOOSE(Assumptions!B50,Assumptions!B69,Assumptions!C69,Assumptions!D69)</f>
        <v>0.1</v>
      </c>
      <c r="M19" s="49">
        <f>CHOOSE(Assumptions!B50,Assumptions!B69,Assumptions!C69,Assumptions!D69)</f>
        <v>0.1</v>
      </c>
      <c r="N19" s="49">
        <f>CHOOSE(Assumptions!B50,Assumptions!B69,Assumptions!C69,Assumptions!D69)</f>
        <v>0.1</v>
      </c>
      <c r="O19" s="49">
        <f>CHOOSE(Assumptions!B50,Assumptions!B69,Assumptions!C69,Assumptions!D69)</f>
        <v>0.1</v>
      </c>
      <c r="P19" s="49">
        <f>CHOOSE(Assumptions!B50,Assumptions!B69,Assumptions!C69,Assumptions!D69)</f>
        <v>0.1</v>
      </c>
      <c r="Q19" s="49">
        <f>CHOOSE(Assumptions!B50,Assumptions!B69,Assumptions!C69,Assumptions!D69)</f>
        <v>0.1</v>
      </c>
      <c r="R19" s="49">
        <f>CHOOSE(Assumptions!B50,Assumptions!B69,Assumptions!C69,Assumptions!D69)</f>
        <v>0.1</v>
      </c>
      <c r="S19" s="49">
        <f>CHOOSE(Assumptions!B50,Assumptions!B69,Assumptions!C69,Assumptions!D69)</f>
        <v>0.1</v>
      </c>
      <c r="T19" s="49">
        <f>CHOOSE(Assumptions!B50,Assumptions!B69,Assumptions!C69,Assumptions!D69)</f>
        <v>0.1</v>
      </c>
      <c r="U19" s="49">
        <f>CHOOSE(Assumptions!B50,Assumptions!B69,Assumptions!C69,Assumptions!D69)</f>
        <v>0.1</v>
      </c>
      <c r="V19" s="49">
        <f>CHOOSE(Assumptions!B50,Assumptions!B69,Assumptions!C69,Assumptions!D69)</f>
        <v>0.1</v>
      </c>
    </row>
    <row r="20" spans="1:22" ht="15" customHeight="1" x14ac:dyDescent="0.2">
      <c r="A20" s="16" t="s">
        <v>220</v>
      </c>
      <c r="B20" s="50">
        <f>Assumptions!D13</f>
        <v>15281</v>
      </c>
      <c r="C20" s="18">
        <f>C6*C19</f>
        <v>14937.624</v>
      </c>
      <c r="D20" s="18">
        <f>D6*D19</f>
        <v>17925.148799999999</v>
      </c>
      <c r="E20" s="18">
        <f>E6*E19</f>
        <v>21868.681536</v>
      </c>
      <c r="F20" s="18">
        <f>F6*F19</f>
        <v>27335.851920000001</v>
      </c>
      <c r="G20" s="18">
        <f>G6*G19</f>
        <v>33349.739342399997</v>
      </c>
      <c r="H20" s="18">
        <f>H6*H19</f>
        <v>39352.692424031993</v>
      </c>
      <c r="I20" s="18">
        <f>I6*I19</f>
        <v>46436.177060357753</v>
      </c>
      <c r="J20" s="18">
        <f>J6*J19</f>
        <v>54794.688931222146</v>
      </c>
      <c r="K20" s="18">
        <f>K6*K19</f>
        <v>64657.732938842128</v>
      </c>
      <c r="L20" s="18">
        <f>L6*L19</f>
        <v>76296.124867833714</v>
      </c>
      <c r="M20" s="18">
        <f>M6*M19</f>
        <v>85451.65985197376</v>
      </c>
      <c r="N20" s="18">
        <f>N6*N19</f>
        <v>95705.859034210618</v>
      </c>
      <c r="O20" s="18">
        <f>O6*O19</f>
        <v>107190.56211831591</v>
      </c>
      <c r="P20" s="18">
        <f>P6*P19</f>
        <v>120053.42957251382</v>
      </c>
      <c r="Q20" s="18">
        <f>Q6*Q19</f>
        <v>134459.84112121549</v>
      </c>
      <c r="R20" s="18">
        <f>R6*R19</f>
        <v>145216.62841091276</v>
      </c>
      <c r="S20" s="18">
        <f>S6*S19</f>
        <v>156833.95868378578</v>
      </c>
      <c r="T20" s="18">
        <f>T6*T19</f>
        <v>169380.67537848867</v>
      </c>
      <c r="U20" s="18">
        <f>U6*U19</f>
        <v>182931.12940876777</v>
      </c>
      <c r="V20" s="18">
        <f>V6*V19</f>
        <v>197565.61976146919</v>
      </c>
    </row>
    <row r="21" spans="1:22" ht="15" customHeight="1" x14ac:dyDescent="0.2">
      <c r="A21" s="16" t="s">
        <v>221</v>
      </c>
      <c r="B21" s="19">
        <f>(Assumptions!D15+Assumptions!D16)/Assumptions!D6</f>
        <v>3.4197004824863715E-2</v>
      </c>
      <c r="C21" s="49">
        <f>CHOOSE(Assumptions!B50,Assumptions!B70,Assumptions!C70,Assumptions!D70)</f>
        <v>0.03</v>
      </c>
      <c r="D21" s="49">
        <f>CHOOSE(Assumptions!B50,Assumptions!B70,Assumptions!C70,Assumptions!D70)</f>
        <v>0.03</v>
      </c>
      <c r="E21" s="49">
        <f>CHOOSE(Assumptions!B50,Assumptions!B70,Assumptions!C70,Assumptions!D70)</f>
        <v>0.03</v>
      </c>
      <c r="F21" s="49">
        <f>CHOOSE(Assumptions!B50,Assumptions!B70,Assumptions!C70,Assumptions!D70)</f>
        <v>0.03</v>
      </c>
      <c r="G21" s="49">
        <f>CHOOSE(Assumptions!B50,Assumptions!B70,Assumptions!C70,Assumptions!D70)</f>
        <v>0.03</v>
      </c>
      <c r="H21" s="49">
        <f>CHOOSE(Assumptions!B50,Assumptions!B70,Assumptions!C70,Assumptions!D70)</f>
        <v>0.03</v>
      </c>
      <c r="I21" s="49">
        <f>CHOOSE(Assumptions!B50,Assumptions!B70,Assumptions!C70,Assumptions!D70)</f>
        <v>0.03</v>
      </c>
      <c r="J21" s="49">
        <f>CHOOSE(Assumptions!B50,Assumptions!B70,Assumptions!C70,Assumptions!D70)</f>
        <v>0.03</v>
      </c>
      <c r="K21" s="49">
        <f>CHOOSE(Assumptions!B50,Assumptions!B70,Assumptions!C70,Assumptions!D70)</f>
        <v>0.03</v>
      </c>
      <c r="L21" s="49">
        <f>CHOOSE(Assumptions!B50,Assumptions!B70,Assumptions!C70,Assumptions!D70)</f>
        <v>0.03</v>
      </c>
      <c r="M21" s="49">
        <f>CHOOSE(Assumptions!B50,Assumptions!B70,Assumptions!C70,Assumptions!D70)</f>
        <v>0.03</v>
      </c>
      <c r="N21" s="49">
        <f>CHOOSE(Assumptions!B50,Assumptions!B70,Assumptions!C70,Assumptions!D70)</f>
        <v>0.03</v>
      </c>
      <c r="O21" s="49">
        <f>CHOOSE(Assumptions!B50,Assumptions!B70,Assumptions!C70,Assumptions!D70)</f>
        <v>0.03</v>
      </c>
      <c r="P21" s="49">
        <f>CHOOSE(Assumptions!B50,Assumptions!B70,Assumptions!C70,Assumptions!D70)</f>
        <v>0.03</v>
      </c>
      <c r="Q21" s="49">
        <f>CHOOSE(Assumptions!B50,Assumptions!B70,Assumptions!C70,Assumptions!D70)</f>
        <v>0.03</v>
      </c>
      <c r="R21" s="49">
        <f>CHOOSE(Assumptions!B50,Assumptions!B70,Assumptions!C70,Assumptions!D70)</f>
        <v>0.03</v>
      </c>
      <c r="S21" s="49">
        <f>CHOOSE(Assumptions!B50,Assumptions!B70,Assumptions!C70,Assumptions!D70)</f>
        <v>0.03</v>
      </c>
      <c r="T21" s="49">
        <f>CHOOSE(Assumptions!B50,Assumptions!B70,Assumptions!C70,Assumptions!D70)</f>
        <v>0.03</v>
      </c>
      <c r="U21" s="49">
        <f>CHOOSE(Assumptions!B50,Assumptions!B70,Assumptions!C70,Assumptions!D70)</f>
        <v>0.03</v>
      </c>
      <c r="V21" s="49">
        <f>CHOOSE(Assumptions!B50,Assumptions!B70,Assumptions!C70,Assumptions!D70)</f>
        <v>0.03</v>
      </c>
    </row>
    <row r="22" spans="1:22" ht="15" customHeight="1" x14ac:dyDescent="0.2">
      <c r="A22" s="16" t="s">
        <v>222</v>
      </c>
      <c r="B22" s="18">
        <f>Assumptions!D15+Assumptions!D16</f>
        <v>4366</v>
      </c>
      <c r="C22" s="18">
        <f>C6*C21</f>
        <v>4481.2871999999998</v>
      </c>
      <c r="D22" s="18">
        <f>D6*D21</f>
        <v>5377.5446399999992</v>
      </c>
      <c r="E22" s="18">
        <f>E6*E21</f>
        <v>6560.6044607999993</v>
      </c>
      <c r="F22" s="18">
        <f>F6*F21</f>
        <v>8200.7555759999996</v>
      </c>
      <c r="G22" s="18">
        <f>G6*G21</f>
        <v>10004.921802719999</v>
      </c>
      <c r="H22" s="18">
        <f>H6*H21</f>
        <v>11805.807727209598</v>
      </c>
      <c r="I22" s="18">
        <f>I6*I21</f>
        <v>13930.853118107325</v>
      </c>
      <c r="J22" s="18">
        <f>J6*J21</f>
        <v>16438.406679366642</v>
      </c>
      <c r="K22" s="18">
        <f>K6*K21</f>
        <v>19397.319881652638</v>
      </c>
      <c r="L22" s="18">
        <f>L6*L21</f>
        <v>22888.837460350111</v>
      </c>
      <c r="M22" s="18">
        <f>M6*M21</f>
        <v>25635.497955592127</v>
      </c>
      <c r="N22" s="18">
        <f>N6*N21</f>
        <v>28711.757710263184</v>
      </c>
      <c r="O22" s="18">
        <f>O6*O21</f>
        <v>32157.168635494771</v>
      </c>
      <c r="P22" s="18">
        <f>P6*P21</f>
        <v>36016.028871754141</v>
      </c>
      <c r="Q22" s="18">
        <f>Q6*Q21</f>
        <v>40337.952336364644</v>
      </c>
      <c r="R22" s="18">
        <f>R6*R21</f>
        <v>43564.988523273823</v>
      </c>
      <c r="S22" s="18">
        <f>S6*S21</f>
        <v>47050.187605135732</v>
      </c>
      <c r="T22" s="18">
        <f>T6*T21</f>
        <v>50814.202613546593</v>
      </c>
      <c r="U22" s="18">
        <f>U6*U21</f>
        <v>54879.338822630321</v>
      </c>
      <c r="V22" s="18">
        <f>V6*V21</f>
        <v>59269.685928440755</v>
      </c>
    </row>
    <row r="23" spans="1:22" ht="15" customHeight="1" x14ac:dyDescent="0.2">
      <c r="A23" s="16" t="s">
        <v>223</v>
      </c>
      <c r="B23" s="49">
        <f>0</f>
        <v>0</v>
      </c>
      <c r="C23" s="49">
        <f>CHOOSE(Assumptions!B50,Assumptions!B72,Assumptions!C72,Assumptions!D72)</f>
        <v>0.05</v>
      </c>
      <c r="D23" s="49">
        <f>CHOOSE(Assumptions!B50,Assumptions!B72,Assumptions!C72,Assumptions!D72)</f>
        <v>0.05</v>
      </c>
      <c r="E23" s="49">
        <f>CHOOSE(Assumptions!B50,Assumptions!B72,Assumptions!C72,Assumptions!D72)</f>
        <v>0.05</v>
      </c>
      <c r="F23" s="49">
        <f>CHOOSE(Assumptions!B50,Assumptions!B72,Assumptions!C72,Assumptions!D72)</f>
        <v>0.05</v>
      </c>
      <c r="G23" s="49">
        <f>CHOOSE(Assumptions!B50,Assumptions!B72,Assumptions!C72,Assumptions!D72)</f>
        <v>0.05</v>
      </c>
      <c r="H23" s="49">
        <f>CHOOSE(Assumptions!B50,Assumptions!B72,Assumptions!C72,Assumptions!D72)</f>
        <v>0.05</v>
      </c>
      <c r="I23" s="49">
        <f>CHOOSE(Assumptions!B50,Assumptions!B72,Assumptions!C72,Assumptions!D72)</f>
        <v>0.05</v>
      </c>
      <c r="J23" s="49">
        <f>CHOOSE(Assumptions!B50,Assumptions!B72,Assumptions!C72,Assumptions!D72)</f>
        <v>0.05</v>
      </c>
      <c r="K23" s="49">
        <f>CHOOSE(Assumptions!B50,Assumptions!B72,Assumptions!C72,Assumptions!D72)</f>
        <v>0.05</v>
      </c>
      <c r="L23" s="49">
        <f>CHOOSE(Assumptions!B50,Assumptions!B72,Assumptions!C72,Assumptions!D72)</f>
        <v>0.05</v>
      </c>
      <c r="M23" s="49">
        <f>CHOOSE(Assumptions!B50,Assumptions!B72,Assumptions!C72,Assumptions!D72)</f>
        <v>0.05</v>
      </c>
      <c r="N23" s="49">
        <f>CHOOSE(Assumptions!B50,Assumptions!B72,Assumptions!C72,Assumptions!D72)</f>
        <v>0.05</v>
      </c>
      <c r="O23" s="49">
        <f>CHOOSE(Assumptions!B50,Assumptions!B72,Assumptions!C72,Assumptions!D72)</f>
        <v>0.05</v>
      </c>
      <c r="P23" s="49">
        <f>CHOOSE(Assumptions!B50,Assumptions!B72,Assumptions!C72,Assumptions!D72)</f>
        <v>0.05</v>
      </c>
      <c r="Q23" s="49">
        <f>CHOOSE(Assumptions!B50,Assumptions!B72,Assumptions!C72,Assumptions!D72)</f>
        <v>0.05</v>
      </c>
      <c r="R23" s="49">
        <f>CHOOSE(Assumptions!B50,Assumptions!B72,Assumptions!C72,Assumptions!D72)</f>
        <v>0.05</v>
      </c>
      <c r="S23" s="49">
        <f>CHOOSE(Assumptions!B50,Assumptions!B72,Assumptions!C72,Assumptions!D72)</f>
        <v>0.05</v>
      </c>
      <c r="T23" s="49">
        <f>CHOOSE(Assumptions!B50,Assumptions!B72,Assumptions!C72,Assumptions!D72)</f>
        <v>0.05</v>
      </c>
      <c r="U23" s="49">
        <f>CHOOSE(Assumptions!B50,Assumptions!B72,Assumptions!C72,Assumptions!D72)</f>
        <v>0.05</v>
      </c>
      <c r="V23" s="49">
        <f>CHOOSE(Assumptions!B50,Assumptions!B72,Assumptions!C72,Assumptions!D72)</f>
        <v>0.05</v>
      </c>
    </row>
    <row r="24" spans="1:22" ht="15" customHeight="1" x14ac:dyDescent="0.2">
      <c r="A24" s="16" t="s">
        <v>224</v>
      </c>
      <c r="B24" s="18">
        <f>0</f>
        <v>0</v>
      </c>
      <c r="C24" s="18">
        <f>(C6-B6)*C23</f>
        <v>1085.2119999999995</v>
      </c>
      <c r="D24" s="18">
        <f>(D6-C6)*D23</f>
        <v>1493.7623999999996</v>
      </c>
      <c r="E24" s="18">
        <f>(E6-D6)*E23</f>
        <v>1971.7663679999998</v>
      </c>
      <c r="F24" s="18">
        <f>(F6-E6)*F23</f>
        <v>2733.5851920000005</v>
      </c>
      <c r="G24" s="18">
        <f>(G6-F6)*G23</f>
        <v>3006.9437111999987</v>
      </c>
      <c r="H24" s="18">
        <f>(H6-G6)*H23</f>
        <v>3001.4765408159992</v>
      </c>
      <c r="I24" s="18">
        <f>(I6-H6)*I23</f>
        <v>3541.7423181628783</v>
      </c>
      <c r="J24" s="18">
        <f>(J6-I6)*J23</f>
        <v>4179.2559354321975</v>
      </c>
      <c r="K24" s="18">
        <f>(K6-J6)*K23</f>
        <v>4931.5220038099915</v>
      </c>
      <c r="L24" s="18">
        <f>(L6-K6)*L23</f>
        <v>5819.1959644957915</v>
      </c>
      <c r="M24" s="18">
        <f>(M6-L6)*M23</f>
        <v>4577.7674920700256</v>
      </c>
      <c r="N24" s="18">
        <f>(N6-M6)*N23</f>
        <v>5127.0995911184291</v>
      </c>
      <c r="O24" s="18">
        <f>(O6-N6)*O23</f>
        <v>5742.3515420526446</v>
      </c>
      <c r="P24" s="18">
        <f>(P6-O6)*P23</f>
        <v>6431.4337270989554</v>
      </c>
      <c r="Q24" s="18">
        <f>(Q6-P6)*Q23</f>
        <v>7203.2057743508376</v>
      </c>
      <c r="R24" s="18">
        <f>(R6-Q6)*R23</f>
        <v>5378.3936448486293</v>
      </c>
      <c r="S24" s="18">
        <f>(S6-R6)*S23</f>
        <v>5808.6651364365134</v>
      </c>
      <c r="T24" s="18">
        <f>(T6-S6)*T23</f>
        <v>6273.3583473514418</v>
      </c>
      <c r="U24" s="18">
        <f>(U6-T6)*U23</f>
        <v>6775.2270151395469</v>
      </c>
      <c r="V24" s="18">
        <f>(V6-U6)*V23</f>
        <v>7317.2451763507215</v>
      </c>
    </row>
    <row r="25" spans="1:22" ht="15" customHeight="1" x14ac:dyDescent="0.2">
      <c r="A25" s="51" t="s">
        <v>225</v>
      </c>
      <c r="B25" s="18">
        <f>B17+B20-B22-B24</f>
        <v>-202982</v>
      </c>
      <c r="C25" s="18">
        <f>C17+C20-C22-C24</f>
        <v>-66810.757600000012</v>
      </c>
      <c r="D25" s="18">
        <f>D17+D20-D22-D24</f>
        <v>-57061.72368000001</v>
      </c>
      <c r="E25" s="18">
        <f>E17+E20-E22-E24</f>
        <v>-47895.99759359999</v>
      </c>
      <c r="F25" s="18">
        <f>F17+F20-F22-F24</f>
        <v>-35536.607495999982</v>
      </c>
      <c r="G25" s="18">
        <f>G17+G20-G22-G24</f>
        <v>-23016.787316640006</v>
      </c>
      <c r="H25" s="18">
        <f>H17+H20-H22-H24</f>
        <v>16674.869671199998</v>
      </c>
      <c r="I25" s="18">
        <f>I17+I20-I22-I24</f>
        <v>19676.346212015982</v>
      </c>
      <c r="J25" s="18">
        <f>J17+J20-J22-J24</f>
        <v>23218.088530178884</v>
      </c>
      <c r="K25" s="18">
        <f>K17+K20-K22-K24</f>
        <v>27397.344465611102</v>
      </c>
      <c r="L25" s="18">
        <f>L17+L20-L22-L24</f>
        <v>32328.866469421067</v>
      </c>
      <c r="M25" s="18">
        <f>M17+M20-M22-M24</f>
        <v>115054.55630069325</v>
      </c>
      <c r="N25" s="18">
        <f>N17+N20-N22-N24</f>
        <v>128861.1030567764</v>
      </c>
      <c r="O25" s="18">
        <f>O17+O20-O22-O24</f>
        <v>144324.4354235896</v>
      </c>
      <c r="P25" s="18">
        <f>P17+P20-P22-P24</f>
        <v>161643.36767442038</v>
      </c>
      <c r="Q25" s="18">
        <f>Q17+Q20-Q22-Q24</f>
        <v>181040.57179535076</v>
      </c>
      <c r="R25" s="18">
        <f>R17+R20-R22-R24</f>
        <v>197924.88613042916</v>
      </c>
      <c r="S25" s="18">
        <f>S17+S20-S22-S24</f>
        <v>213758.87702086358</v>
      </c>
      <c r="T25" s="18">
        <f>T17+T20-T22-T24</f>
        <v>230859.58718253268</v>
      </c>
      <c r="U25" s="18">
        <f>U17+U20-U22-U24</f>
        <v>249328.35415713533</v>
      </c>
      <c r="V25" s="18">
        <f>V17+V20-V22-V24</f>
        <v>269274.62248970609</v>
      </c>
    </row>
    <row r="26" spans="1:22" ht="15" customHeight="1" x14ac:dyDescent="0.2">
      <c r="A26" s="16" t="s">
        <v>226</v>
      </c>
      <c r="B26" s="19">
        <f>IF(B6&lt;&gt;0,B25/B6,0)</f>
        <v>-1.5898709192305283</v>
      </c>
      <c r="C26" s="19">
        <f>IF(C6&lt;&gt;0,C25/C6,0)</f>
        <v>-0.44726495726495735</v>
      </c>
      <c r="D26" s="19">
        <f>IF(D6&lt;&gt;0,D25/D6,0)</f>
        <v>-0.31833333333333341</v>
      </c>
      <c r="E26" s="19">
        <f>IF(E6&lt;&gt;0,E25/E6,0)</f>
        <v>-0.21901639344262291</v>
      </c>
      <c r="F26" s="19">
        <f>IF(F6&lt;&gt;0,F25/F6,0)</f>
        <v>-0.12999999999999995</v>
      </c>
      <c r="G26" s="19">
        <f>IF(G6&lt;&gt;0,G25/G6,0)</f>
        <v>-6.9016393442622975E-2</v>
      </c>
      <c r="H26" s="19">
        <f>IF(H6&lt;&gt;0,H25/H6,0)</f>
        <v>4.2372881355932208E-2</v>
      </c>
      <c r="I26" s="19">
        <f>IF(I6&lt;&gt;0,I25/I6,0)</f>
        <v>4.2372881355932174E-2</v>
      </c>
      <c r="J26" s="19">
        <f>IF(J6&lt;&gt;0,J25/J6,0)</f>
        <v>4.2372881355932222E-2</v>
      </c>
      <c r="K26" s="19">
        <f>IF(K6&lt;&gt;0,K25/K6,0)</f>
        <v>4.237288135593225E-2</v>
      </c>
      <c r="L26" s="19">
        <f>IF(L6&lt;&gt;0,L25/L6,0)</f>
        <v>4.2372881355932208E-2</v>
      </c>
      <c r="M26" s="19">
        <f>IF(M6&lt;&gt;0,M25/M6,0)</f>
        <v>0.13464285714285715</v>
      </c>
      <c r="N26" s="19">
        <f>IF(N6&lt;&gt;0,N25/N6,0)</f>
        <v>0.13464285714285709</v>
      </c>
      <c r="O26" s="19">
        <f>IF(O6&lt;&gt;0,O25/O6,0)</f>
        <v>0.13464285714285712</v>
      </c>
      <c r="P26" s="19">
        <f>IF(P6&lt;&gt;0,P25/P6,0)</f>
        <v>0.13464285714285715</v>
      </c>
      <c r="Q26" s="19">
        <f>IF(Q6&lt;&gt;0,Q25/Q6,0)</f>
        <v>0.13464285714285706</v>
      </c>
      <c r="R26" s="19">
        <f>IF(R6&lt;&gt;0,R25/R6,0)</f>
        <v>0.13629629629629625</v>
      </c>
      <c r="S26" s="19">
        <f>IF(S6&lt;&gt;0,S25/S6,0)</f>
        <v>0.1362962962962963</v>
      </c>
      <c r="T26" s="19">
        <f>IF(T6&lt;&gt;0,T25/T6,0)</f>
        <v>0.13629629629629628</v>
      </c>
      <c r="U26" s="19">
        <f>IF(U6&lt;&gt;0,U25/U6,0)</f>
        <v>0.1362962962962963</v>
      </c>
      <c r="V26" s="19">
        <f>IF(V6&lt;&gt;0,V25/V6,0)</f>
        <v>0.13629629629629625</v>
      </c>
    </row>
    <row r="27" spans="1:22" ht="15" customHeight="1" x14ac:dyDescent="0.2">
      <c r="A27" s="10" t="s">
        <v>227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" customHeight="1" x14ac:dyDescent="0.2">
      <c r="A28" s="14" t="s">
        <v>228</v>
      </c>
      <c r="B28" s="49">
        <f>CHOOSE(Assumptions!B50,Assumptions!B87,Assumptions!C87,Assumptions!D87)</f>
        <v>0.17201</v>
      </c>
      <c r="C28" s="49">
        <f>CHOOSE(Assumptions!B50,Assumptions!B87,Assumptions!C87,Assumptions!D87)</f>
        <v>0.17201</v>
      </c>
      <c r="D28" s="49">
        <f>CHOOSE(Assumptions!B50,Assumptions!B87,Assumptions!C87,Assumptions!D87)</f>
        <v>0.17201</v>
      </c>
      <c r="E28" s="49">
        <f>CHOOSE(Assumptions!B50,Assumptions!B87,Assumptions!C87,Assumptions!D87)</f>
        <v>0.17201</v>
      </c>
      <c r="F28" s="49">
        <f>CHOOSE(Assumptions!B50,Assumptions!B87,Assumptions!C87,Assumptions!D87)</f>
        <v>0.17201</v>
      </c>
      <c r="G28" s="49">
        <f>CHOOSE(Assumptions!B50,Assumptions!B87,Assumptions!C87,Assumptions!D87)</f>
        <v>0.17201</v>
      </c>
      <c r="H28" s="49">
        <f>CHOOSE(Assumptions!B50,Assumptions!B87,Assumptions!C87,Assumptions!D87)</f>
        <v>0.17201</v>
      </c>
      <c r="I28" s="49">
        <f>CHOOSE(Assumptions!B50,Assumptions!B87,Assumptions!C87,Assumptions!D87)</f>
        <v>0.17201</v>
      </c>
      <c r="J28" s="49">
        <f>CHOOSE(Assumptions!B50,Assumptions!B87,Assumptions!C87,Assumptions!D87)</f>
        <v>0.17201</v>
      </c>
      <c r="K28" s="49">
        <f>CHOOSE(Assumptions!B50,Assumptions!B87,Assumptions!C87,Assumptions!D87)</f>
        <v>0.17201</v>
      </c>
      <c r="L28" s="49">
        <f>CHOOSE(Assumptions!B50,Assumptions!B87,Assumptions!C87,Assumptions!D87)</f>
        <v>0.17201</v>
      </c>
      <c r="M28" s="49">
        <f>CHOOSE(Assumptions!B50,Assumptions!B87,Assumptions!C87,Assumptions!D87)</f>
        <v>0.17201</v>
      </c>
      <c r="N28" s="49">
        <f>CHOOSE(Assumptions!B50,Assumptions!B87,Assumptions!C87,Assumptions!D87)</f>
        <v>0.17201</v>
      </c>
      <c r="O28" s="49">
        <f>CHOOSE(Assumptions!B50,Assumptions!B87,Assumptions!C87,Assumptions!D87)</f>
        <v>0.17201</v>
      </c>
      <c r="P28" s="49">
        <f>CHOOSE(Assumptions!B50,Assumptions!B87,Assumptions!C87,Assumptions!D87)</f>
        <v>0.17201</v>
      </c>
      <c r="Q28" s="49">
        <f>CHOOSE(Assumptions!B50,Assumptions!B87,Assumptions!C87,Assumptions!D87)</f>
        <v>0.17201</v>
      </c>
      <c r="R28" s="49">
        <f>CHOOSE(Assumptions!B50,Assumptions!B87,Assumptions!C87,Assumptions!D87)</f>
        <v>0.17201</v>
      </c>
      <c r="S28" s="49">
        <f>CHOOSE(Assumptions!B50,Assumptions!B87,Assumptions!C87,Assumptions!D87)</f>
        <v>0.17201</v>
      </c>
      <c r="T28" s="49">
        <f>CHOOSE(Assumptions!B50,Assumptions!B87,Assumptions!C87,Assumptions!D87)</f>
        <v>0.17201</v>
      </c>
      <c r="U28" s="49">
        <f>CHOOSE(Assumptions!B50,Assumptions!B87,Assumptions!C87,Assumptions!D87)</f>
        <v>0.17201</v>
      </c>
      <c r="V28" s="49">
        <f>CHOOSE(Assumptions!B50,Assumptions!B87,Assumptions!C87,Assumptions!D87)</f>
        <v>0.17201</v>
      </c>
    </row>
    <row r="29" spans="1:22" ht="15" customHeight="1" x14ac:dyDescent="0.2">
      <c r="A29" s="16" t="s">
        <v>229</v>
      </c>
      <c r="B29" s="48" t="s">
        <v>205</v>
      </c>
      <c r="C29" s="52">
        <f>1-0.5</f>
        <v>0.5</v>
      </c>
      <c r="D29" s="52">
        <f>2-0.5</f>
        <v>1.5</v>
      </c>
      <c r="E29" s="52">
        <f>3-0.5</f>
        <v>2.5</v>
      </c>
      <c r="F29" s="52">
        <f>4-0.5</f>
        <v>3.5</v>
      </c>
      <c r="G29" s="52">
        <f>5-0.5</f>
        <v>4.5</v>
      </c>
      <c r="H29" s="52">
        <f>6-0.5</f>
        <v>5.5</v>
      </c>
      <c r="I29" s="52">
        <f>7-0.5</f>
        <v>6.5</v>
      </c>
      <c r="J29" s="52">
        <f>8-0.5</f>
        <v>7.5</v>
      </c>
      <c r="K29" s="52">
        <f>9-0.5</f>
        <v>8.5</v>
      </c>
      <c r="L29" s="52">
        <f>10-0.5</f>
        <v>9.5</v>
      </c>
      <c r="M29" s="52">
        <f>11-0.5</f>
        <v>10.5</v>
      </c>
      <c r="N29" s="52">
        <f>12-0.5</f>
        <v>11.5</v>
      </c>
      <c r="O29" s="52">
        <f>13-0.5</f>
        <v>12.5</v>
      </c>
      <c r="P29" s="52">
        <f>14-0.5</f>
        <v>13.5</v>
      </c>
      <c r="Q29" s="52">
        <f>15-0.5</f>
        <v>14.5</v>
      </c>
      <c r="R29" s="52">
        <f>16-0.5</f>
        <v>15.5</v>
      </c>
      <c r="S29" s="52">
        <f>17-0.5</f>
        <v>16.5</v>
      </c>
      <c r="T29" s="52">
        <f>18-0.5</f>
        <v>17.5</v>
      </c>
      <c r="U29" s="52">
        <f>19-0.5</f>
        <v>18.5</v>
      </c>
      <c r="V29" s="52">
        <f>20-0.5</f>
        <v>19.5</v>
      </c>
    </row>
    <row r="30" spans="1:22" ht="15" customHeight="1" x14ac:dyDescent="0.2">
      <c r="A30" s="16" t="s">
        <v>230</v>
      </c>
      <c r="B30" s="48" t="s">
        <v>205</v>
      </c>
      <c r="C30" s="53">
        <f>1/(1+C28)^C29</f>
        <v>0.92370722669937455</v>
      </c>
      <c r="D30" s="53">
        <f>1/(1+D28)^D29</f>
        <v>0.78813937312768201</v>
      </c>
      <c r="E30" s="53">
        <f>1/(1+E28)^E29</f>
        <v>0.6724681300737041</v>
      </c>
      <c r="F30" s="53">
        <f>1/(1+F28)^F29</f>
        <v>0.57377337230373804</v>
      </c>
      <c r="G30" s="53">
        <f>1/(1+G28)^G29</f>
        <v>0.48956354664528301</v>
      </c>
      <c r="H30" s="53">
        <f>1/(1+H28)^H29</f>
        <v>0.41771277262590167</v>
      </c>
      <c r="I30" s="53">
        <f>1/(1+I28)^I29</f>
        <v>0.35640717453426307</v>
      </c>
      <c r="J30" s="53">
        <f>1/(1+J28)^J29</f>
        <v>0.30409909005406355</v>
      </c>
      <c r="K30" s="53">
        <f>1/(1+K28)^K29</f>
        <v>0.25946799946592913</v>
      </c>
      <c r="L30" s="53">
        <f>1/(1+L28)^L29</f>
        <v>0.22138718907341154</v>
      </c>
      <c r="M30" s="53">
        <f>1/(1+M28)^M29</f>
        <v>0.18889530726991371</v>
      </c>
      <c r="N30" s="53">
        <f>1/(1+N28)^N29</f>
        <v>0.16117209517829517</v>
      </c>
      <c r="O30" s="53">
        <f>1/(1+O28)^O29</f>
        <v>0.13751767918217009</v>
      </c>
      <c r="P30" s="53">
        <f>1/(1+P28)^P29</f>
        <v>0.11733490258800701</v>
      </c>
      <c r="Q30" s="53">
        <f>1/(1+Q28)^Q29</f>
        <v>0.1001142503801222</v>
      </c>
      <c r="R30" s="53">
        <f>1/(1+R28)^R29</f>
        <v>8.5420986493393566E-2</v>
      </c>
      <c r="S30" s="53">
        <f>1/(1+S28)^S29</f>
        <v>7.2884178883621767E-2</v>
      </c>
      <c r="T30" s="53">
        <f>1/(1+T28)^T29</f>
        <v>6.2187335332993553E-2</v>
      </c>
      <c r="U30" s="53">
        <f>1/(1+U28)^U29</f>
        <v>5.3060413591175457E-2</v>
      </c>
      <c r="V30" s="53">
        <f>1/(1+V28)^V29</f>
        <v>4.5273004147725247E-2</v>
      </c>
    </row>
    <row r="31" spans="1:22" ht="15" customHeight="1" x14ac:dyDescent="0.2">
      <c r="A31" s="16" t="s">
        <v>231</v>
      </c>
      <c r="B31" s="48" t="s">
        <v>205</v>
      </c>
      <c r="C31" s="18">
        <f>C25*C30</f>
        <v>-61713.579616380172</v>
      </c>
      <c r="D31" s="18">
        <f>D25*D30</f>
        <v>-44972.591130740213</v>
      </c>
      <c r="E31" s="18">
        <f>E25*E30</f>
        <v>-32208.531939782817</v>
      </c>
      <c r="F31" s="18">
        <f>F25*F30</f>
        <v>-20389.959123214205</v>
      </c>
      <c r="G31" s="18">
        <f>G25*G30</f>
        <v>-11268.180031114447</v>
      </c>
      <c r="H31" s="18">
        <f>H25*H30</f>
        <v>6965.3060435325087</v>
      </c>
      <c r="I31" s="18">
        <f>I25*I30</f>
        <v>7012.7909585825664</v>
      </c>
      <c r="J31" s="18">
        <f>J25*J30</f>
        <v>7060.599594822088</v>
      </c>
      <c r="K31" s="18">
        <f>K25*K30</f>
        <v>7108.7341591710583</v>
      </c>
      <c r="L31" s="18">
        <f>L25*L30</f>
        <v>7157.1968735947967</v>
      </c>
      <c r="M31" s="18">
        <f>M25*M30</f>
        <v>21733.265765223037</v>
      </c>
      <c r="N31" s="18">
        <f>N25*N30</f>
        <v>20768.813966646867</v>
      </c>
      <c r="O31" s="18">
        <f>O25*O30</f>
        <v>19847.161408729018</v>
      </c>
      <c r="P31" s="18">
        <f>P25*P30</f>
        <v>18966.408800075518</v>
      </c>
      <c r="Q31" s="18">
        <f>Q25*Q30</f>
        <v>18124.741133680236</v>
      </c>
      <c r="R31" s="18">
        <f>R25*R30</f>
        <v>16906.939024853848</v>
      </c>
      <c r="S31" s="18">
        <f>S25*S30</f>
        <v>15579.640230750727</v>
      </c>
      <c r="T31" s="18">
        <f>T25*T30</f>
        <v>14356.54256295662</v>
      </c>
      <c r="U31" s="18">
        <f>U25*U30</f>
        <v>13229.465591584671</v>
      </c>
      <c r="V31" s="18">
        <f>V25*V30</f>
        <v>12190.871100853614</v>
      </c>
    </row>
    <row r="32" spans="1:22" ht="15" customHeight="1" x14ac:dyDescent="0.2">
      <c r="A32" s="14" t="s">
        <v>232</v>
      </c>
      <c r="B32" s="54">
        <f>SUM(C31:V31)</f>
        <v>36455.635373825324</v>
      </c>
    </row>
    <row r="33" spans="1:22" ht="15" customHeight="1" x14ac:dyDescent="0.2">
      <c r="A33" s="10" t="s">
        <v>233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5" customHeight="1" x14ac:dyDescent="0.2">
      <c r="A34" s="16" t="s">
        <v>234</v>
      </c>
      <c r="B34" s="18">
        <f>V25</f>
        <v>269274.62248970609</v>
      </c>
    </row>
    <row r="35" spans="1:22" ht="15" customHeight="1" x14ac:dyDescent="0.2">
      <c r="A35" s="16" t="s">
        <v>235</v>
      </c>
      <c r="B35" s="49">
        <f>CHOOSE(Assumptions!B50,Assumptions!B92,Assumptions!C92,Assumptions!D92)</f>
        <v>0.03</v>
      </c>
    </row>
    <row r="36" spans="1:22" ht="15" customHeight="1" x14ac:dyDescent="0.2">
      <c r="A36" s="16" t="s">
        <v>236</v>
      </c>
      <c r="B36" s="49">
        <f>CHOOSE(Assumptions!B50,Assumptions!B87,Assumptions!C87,Assumptions!D87)</f>
        <v>0.17201</v>
      </c>
    </row>
    <row r="37" spans="1:22" ht="15" customHeight="1" x14ac:dyDescent="0.2">
      <c r="A37" s="14" t="s">
        <v>237</v>
      </c>
      <c r="B37" s="55">
        <f>B34*(1+B35)/(B36-B35)</f>
        <v>1953051.6242827778</v>
      </c>
    </row>
    <row r="38" spans="1:22" ht="15" customHeight="1" x14ac:dyDescent="0.2">
      <c r="A38" s="16" t="s">
        <v>238</v>
      </c>
      <c r="B38" s="53">
        <f>1/(1+V28)^20</f>
        <v>4.1819001105644571E-2</v>
      </c>
    </row>
    <row r="39" spans="1:22" ht="15" customHeight="1" x14ac:dyDescent="0.2">
      <c r="A39" s="14" t="s">
        <v>239</v>
      </c>
      <c r="B39" s="55">
        <f>B37*B38</f>
        <v>81674.66803526241</v>
      </c>
    </row>
    <row r="40" spans="1:22" ht="15" customHeight="1" x14ac:dyDescent="0.2">
      <c r="A40" s="16" t="s">
        <v>240</v>
      </c>
      <c r="B40" s="19">
        <f>B39/(B32+B39)</f>
        <v>0.69139471988335888</v>
      </c>
    </row>
    <row r="41" spans="1:22" ht="15" customHeight="1" x14ac:dyDescent="0.2">
      <c r="A41" s="5" t="s">
        <v>241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2">
      <c r="A42" s="16" t="s">
        <v>242</v>
      </c>
      <c r="B42" s="18">
        <f>V6</f>
        <v>1975656.1976146919</v>
      </c>
    </row>
    <row r="43" spans="1:22" ht="15" customHeight="1" x14ac:dyDescent="0.2">
      <c r="A43" s="16" t="s">
        <v>243</v>
      </c>
      <c r="B43" s="49">
        <f>CHOOSE(Assumptions!B50,Assumptions!B94,Assumptions!C94,Assumptions!D94)</f>
        <v>0.2</v>
      </c>
    </row>
    <row r="44" spans="1:22" ht="15" customHeight="1" x14ac:dyDescent="0.2">
      <c r="A44" s="16" t="s">
        <v>244</v>
      </c>
      <c r="B44" s="18">
        <f>B42*B43</f>
        <v>395131.23952293838</v>
      </c>
    </row>
    <row r="45" spans="1:22" ht="15" customHeight="1" x14ac:dyDescent="0.2">
      <c r="A45" s="16" t="s">
        <v>245</v>
      </c>
      <c r="B45" s="56">
        <f>CHOOSE(Assumptions!B50,Assumptions!B93,Assumptions!C93,Assumptions!D93)</f>
        <v>15</v>
      </c>
    </row>
    <row r="46" spans="1:22" ht="15" customHeight="1" x14ac:dyDescent="0.2">
      <c r="A46" s="16" t="s">
        <v>246</v>
      </c>
      <c r="B46" s="18">
        <f>B44*B45</f>
        <v>5926968.5928440755</v>
      </c>
    </row>
    <row r="47" spans="1:22" ht="15" customHeight="1" x14ac:dyDescent="0.2">
      <c r="A47" s="16" t="s">
        <v>247</v>
      </c>
      <c r="B47" s="18">
        <f>B46*B38</f>
        <v>247859.90613726704</v>
      </c>
    </row>
    <row r="48" spans="1:22" ht="15" customHeight="1" x14ac:dyDescent="0.2">
      <c r="A48" s="10" t="s">
        <v>248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8" ht="15" customHeight="1" x14ac:dyDescent="0.2">
      <c r="A49" s="14" t="s">
        <v>249</v>
      </c>
      <c r="B49" s="54">
        <f>B32+B39</f>
        <v>118130.30340908773</v>
      </c>
    </row>
    <row r="50" spans="1:8" ht="15" customHeight="1" x14ac:dyDescent="0.2">
      <c r="A50" s="16" t="s">
        <v>250</v>
      </c>
      <c r="B50" s="18">
        <f>B32+B47</f>
        <v>284315.54151109233</v>
      </c>
    </row>
    <row r="51" spans="1:8" ht="15" customHeight="1" x14ac:dyDescent="0.2">
      <c r="A51" s="16" t="s">
        <v>251</v>
      </c>
      <c r="B51" s="18">
        <f>MAX(0,Assumptions!C32-Assumptions!C27)</f>
        <v>0</v>
      </c>
      <c r="C51" s="13" t="s">
        <v>252</v>
      </c>
    </row>
    <row r="52" spans="1:8" ht="15" customHeight="1" x14ac:dyDescent="0.2">
      <c r="A52" s="16" t="s">
        <v>253</v>
      </c>
      <c r="B52" s="18">
        <f>MAX(0,Assumptions!C27-Assumptions!C32)</f>
        <v>443868</v>
      </c>
    </row>
    <row r="53" spans="1:8" ht="15" customHeight="1" x14ac:dyDescent="0.2">
      <c r="A53" s="14" t="s">
        <v>254</v>
      </c>
      <c r="B53" s="55">
        <f>B49-B51+B52</f>
        <v>561998.3034090877</v>
      </c>
    </row>
    <row r="54" spans="1:8" ht="15" customHeight="1" x14ac:dyDescent="0.2">
      <c r="A54" s="16" t="s">
        <v>255</v>
      </c>
      <c r="B54" s="57">
        <f>Assumptions!C34</f>
        <v>475055655</v>
      </c>
    </row>
    <row r="55" spans="1:8" ht="15" customHeight="1" x14ac:dyDescent="0.2">
      <c r="A55" s="14" t="s">
        <v>256</v>
      </c>
      <c r="B55" s="58">
        <f>IF(B54&gt;0,(B53*1000)/B54,0)</f>
        <v>1.1830157108835757</v>
      </c>
    </row>
    <row r="57" spans="1:8" ht="15" customHeight="1" x14ac:dyDescent="0.2">
      <c r="A57" s="10" t="s">
        <v>257</v>
      </c>
      <c r="B57" s="10"/>
      <c r="C57" s="10"/>
      <c r="D57" s="10"/>
      <c r="E57" s="10"/>
      <c r="F57" s="10"/>
      <c r="G57" s="10"/>
      <c r="H57" s="10"/>
    </row>
    <row r="58" spans="1:8" ht="31.5" customHeight="1" x14ac:dyDescent="0.2">
      <c r="A58" s="47" t="s">
        <v>258</v>
      </c>
      <c r="B58" s="59" t="s">
        <v>259</v>
      </c>
      <c r="C58" s="59" t="s">
        <v>260</v>
      </c>
      <c r="D58" s="59" t="s">
        <v>261</v>
      </c>
    </row>
    <row r="59" spans="1:8" ht="15" customHeight="1" x14ac:dyDescent="0.2">
      <c r="A59" s="16" t="s">
        <v>262</v>
      </c>
      <c r="B59" s="50">
        <f>B102</f>
        <v>149376.24</v>
      </c>
      <c r="C59" s="50">
        <f>C102</f>
        <v>159590</v>
      </c>
      <c r="D59" s="50">
        <f>D102</f>
        <v>134055.6</v>
      </c>
    </row>
    <row r="60" spans="1:8" ht="15" customHeight="1" x14ac:dyDescent="0.2">
      <c r="A60" s="16" t="s">
        <v>263</v>
      </c>
      <c r="B60" s="49">
        <f>Assumptions!B40</f>
        <v>0.17</v>
      </c>
      <c r="C60" s="49">
        <f>Assumptions!C40</f>
        <v>0.25</v>
      </c>
      <c r="D60" s="49">
        <f>Assumptions!D40</f>
        <v>0.05</v>
      </c>
    </row>
    <row r="61" spans="1:8" ht="15" customHeight="1" x14ac:dyDescent="0.2">
      <c r="A61" s="16" t="s">
        <v>264</v>
      </c>
      <c r="B61" s="50">
        <f>B106</f>
        <v>333497.39342399995</v>
      </c>
      <c r="C61" s="50">
        <f>C106</f>
        <v>448792.61440000008</v>
      </c>
      <c r="D61" s="50">
        <f>D106</f>
        <v>212721.57096960006</v>
      </c>
    </row>
    <row r="62" spans="1:8" ht="15" customHeight="1" x14ac:dyDescent="0.2">
      <c r="A62" s="16" t="s">
        <v>265</v>
      </c>
      <c r="B62" s="50">
        <f>B121</f>
        <v>1975656.1976146919</v>
      </c>
      <c r="C62" s="50">
        <f>C121</f>
        <v>3929139.8073473652</v>
      </c>
      <c r="D62" s="50">
        <f>D121</f>
        <v>613253.93165590183</v>
      </c>
    </row>
    <row r="63" spans="1:8" ht="15" customHeight="1" x14ac:dyDescent="0.2">
      <c r="A63" s="16" t="s">
        <v>266</v>
      </c>
      <c r="B63" s="49">
        <f>Assumptions!B54</f>
        <v>0.24</v>
      </c>
      <c r="C63" s="49">
        <f>Assumptions!C54</f>
        <v>0.27</v>
      </c>
      <c r="D63" s="49">
        <f>Assumptions!D54</f>
        <v>0.21</v>
      </c>
    </row>
    <row r="64" spans="1:8" ht="15" customHeight="1" x14ac:dyDescent="0.2">
      <c r="A64" s="16" t="s">
        <v>267</v>
      </c>
      <c r="B64" s="50">
        <f>B102*(Assumptions!B54-Assumptions!B61-Assumptions!B68)</f>
        <v>-76181.882400000002</v>
      </c>
      <c r="C64" s="50">
        <f>C102*(Assumptions!C54-Assumptions!C61-Assumptions!C68)</f>
        <v>-68623.7</v>
      </c>
      <c r="D64" s="50">
        <f>D102*(Assumptions!D54-Assumptions!D61-Assumptions!D68)</f>
        <v>-79092.804000000004</v>
      </c>
    </row>
    <row r="65" spans="1:12" ht="15" customHeight="1" x14ac:dyDescent="0.2">
      <c r="A65" s="16" t="s">
        <v>128</v>
      </c>
      <c r="B65" s="49">
        <f>Assumptions!B87</f>
        <v>0.17201</v>
      </c>
      <c r="C65" s="49">
        <f>Assumptions!C87</f>
        <v>0.143845</v>
      </c>
      <c r="D65" s="49">
        <f>Assumptions!D87</f>
        <v>0.19986000000000001</v>
      </c>
    </row>
    <row r="66" spans="1:12" ht="15" customHeight="1" x14ac:dyDescent="0.2">
      <c r="A66" s="16" t="s">
        <v>268</v>
      </c>
      <c r="B66" s="49">
        <f>Assumptions!B92</f>
        <v>0.03</v>
      </c>
      <c r="C66" s="49">
        <f>Assumptions!C92</f>
        <v>3.5000000000000003E-2</v>
      </c>
      <c r="D66" s="49">
        <f>Assumptions!D92</f>
        <v>2.5000000000000001E-2</v>
      </c>
    </row>
    <row r="67" spans="1:12" ht="15" customHeight="1" x14ac:dyDescent="0.2">
      <c r="A67" s="16" t="s">
        <v>269</v>
      </c>
      <c r="B67" s="50">
        <f>B162</f>
        <v>36455.635373825324</v>
      </c>
      <c r="C67" s="50">
        <f>C162</f>
        <v>910842.00989393133</v>
      </c>
      <c r="D67" s="50">
        <f>D162</f>
        <v>-239585.15711324551</v>
      </c>
    </row>
    <row r="68" spans="1:12" ht="15" customHeight="1" x14ac:dyDescent="0.2">
      <c r="A68" s="16" t="s">
        <v>239</v>
      </c>
      <c r="B68" s="50">
        <f>B164</f>
        <v>81674.66803526241</v>
      </c>
      <c r="C68" s="50">
        <f>C164</f>
        <v>628437.37331065536</v>
      </c>
      <c r="D68" s="50">
        <f>D164</f>
        <v>-2989.6434192785632</v>
      </c>
    </row>
    <row r="69" spans="1:12" ht="15" customHeight="1" x14ac:dyDescent="0.2">
      <c r="A69" s="16" t="s">
        <v>270</v>
      </c>
      <c r="B69" s="50">
        <f>B165</f>
        <v>118130.30340908773</v>
      </c>
      <c r="C69" s="50">
        <f>C165</f>
        <v>1539279.3832045868</v>
      </c>
      <c r="D69" s="50">
        <f>D165</f>
        <v>-242574.80053252407</v>
      </c>
    </row>
    <row r="70" spans="1:12" ht="15" customHeight="1" x14ac:dyDescent="0.2">
      <c r="A70" s="16" t="s">
        <v>271</v>
      </c>
      <c r="B70" s="50">
        <f>B166</f>
        <v>561998.3034090877</v>
      </c>
      <c r="C70" s="50">
        <f>C166</f>
        <v>1983147.3832045868</v>
      </c>
      <c r="D70" s="50">
        <f>D166</f>
        <v>201293.19946747593</v>
      </c>
    </row>
    <row r="71" spans="1:12" ht="15" customHeight="1" x14ac:dyDescent="0.2">
      <c r="A71" s="16" t="s">
        <v>272</v>
      </c>
      <c r="B71" s="60">
        <f>B167</f>
        <v>1.1830157108835757</v>
      </c>
      <c r="C71" s="60">
        <f>C167</f>
        <v>4.1745579961669685</v>
      </c>
      <c r="D71" s="60">
        <f>D167</f>
        <v>0.42372550952472277</v>
      </c>
    </row>
    <row r="74" spans="1:12" ht="15" customHeight="1" x14ac:dyDescent="0.2">
      <c r="A74" s="10" t="s">
        <v>273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 x14ac:dyDescent="0.2">
      <c r="A75" s="61" t="s">
        <v>274</v>
      </c>
      <c r="B75" s="15" t="s">
        <v>275</v>
      </c>
      <c r="C75" s="15" t="s">
        <v>276</v>
      </c>
      <c r="D75" s="15" t="s">
        <v>277</v>
      </c>
      <c r="E75" s="15" t="s">
        <v>278</v>
      </c>
      <c r="F75" s="15" t="s">
        <v>279</v>
      </c>
      <c r="G75" s="15" t="s">
        <v>280</v>
      </c>
    </row>
    <row r="76" spans="1:12" ht="15" customHeight="1" x14ac:dyDescent="0.2">
      <c r="A76" s="62" t="s">
        <v>281</v>
      </c>
      <c r="B76" s="63">
        <f>IF(0.1&gt;0.015,(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19.5)+B141*(1+0.015)/(0.1-0.015)/(1+0.1)^20-(MAX(0,Assumptions!C32-Assumptions!C27))+(MAX(0,Assumptions!C27-Assumptions!C32)))*1000/Assumptions!C34,"-")</f>
        <v>2.5779628449162075</v>
      </c>
      <c r="C76" s="63">
        <f>IF(0.1&gt;0.02,(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19.5)+B141*(1+0.02)/(0.1-0.02)/(1+0.1)^20-(MAX(0,Assumptions!C32-Assumptions!C27))+(MAX(0,Assumptions!C27-Assumptions!C32)))*1000/Assumptions!C34,"-")</f>
        <v>2.6461105141921619</v>
      </c>
      <c r="D76" s="64">
        <f>IF(0.1&gt;0.025,(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19.5)+B141*(1+0.025)/(0.1-0.025)/(1+0.1)^20-(MAX(0,Assumptions!C32-Assumptions!C27))+(MAX(0,Assumptions!C27-Assumptions!C32)))*1000/Assumptions!C34,"-")</f>
        <v>2.7233445393715754</v>
      </c>
      <c r="E76" s="64">
        <f>IF(0.1&gt;0.03,(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19.5)+B141*(1+0.03)/(0.1-0.03)/(1+0.1)^20-(MAX(0,Assumptions!C32-Assumptions!C27))+(MAX(0,Assumptions!C27-Assumptions!C32)))*1000/Assumptions!C34,"-")</f>
        <v>2.8116119967194773</v>
      </c>
      <c r="F76" s="64">
        <f>IF(0.1&gt;0.035,(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19.5)+B141*(1+0.035)/(0.1-0.035)/(1+0.1)^20-(MAX(0,Assumptions!C32-Assumptions!C27))+(MAX(0,Assumptions!C27-Assumptions!C32)))*1000/Assumptions!C34,"-")</f>
        <v>2.9134590628901331</v>
      </c>
      <c r="G76" s="63">
        <f>IF(0.1&gt;0.04,(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19.5)+B141*(1+0.04)/(0.1-0.04)/(1+0.1)^20-(MAX(0,Assumptions!C32-Assumptions!C27))+(MAX(0,Assumptions!C27-Assumptions!C32)))*1000/Assumptions!C34,"-")</f>
        <v>3.0322806400892328</v>
      </c>
    </row>
    <row r="77" spans="1:12" ht="15" customHeight="1" x14ac:dyDescent="0.2">
      <c r="A77" s="62" t="s">
        <v>282</v>
      </c>
      <c r="B77" s="63">
        <f>IF(0.12&gt;0.015,(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19.5)+B141*(1+0.015)/(0.12-0.015)/(1+0.12)^20-(MAX(0,Assumptions!C32-Assumptions!C27))+(MAX(0,Assumptions!C27-Assumptions!C32)))*1000/Assumptions!C34,"-")</f>
        <v>1.9207823889407987</v>
      </c>
      <c r="C77" s="63">
        <f>IF(0.12&gt;0.02,(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19.5)+B141*(1+0.02)/(0.12-0.02)/(1+0.12)^20-(MAX(0,Assumptions!C32-Assumptions!C27))+(MAX(0,Assumptions!C27-Assumptions!C32)))*1000/Assumptions!C34,"-")</f>
        <v>1.9521216828956864</v>
      </c>
      <c r="D77" s="64">
        <f>IF(0.12&gt;0.025,(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19.5)+B141*(1+0.025)/(0.12-0.025)/(1+0.12)^20-(MAX(0,Assumptions!C32-Assumptions!C27))+(MAX(0,Assumptions!C27-Assumptions!C32)))*1000/Assumptions!C34,"-")</f>
        <v>1.9867598498984569</v>
      </c>
      <c r="E77" s="64">
        <f>IF(0.12&gt;0.03,(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19.5)+B141*(1+0.03)/(0.12-0.03)/(1+0.12)^20-(MAX(0,Assumptions!C32-Assumptions!C27))+(MAX(0,Assumptions!C27-Assumptions!C32)))*1000/Assumptions!C34,"-")</f>
        <v>2.0252467021237579</v>
      </c>
      <c r="F77" s="64">
        <f>IF(0.12&gt;0.035,(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19.5)+B141*(1+0.035)/(0.12-0.035)/(1+0.12)^20-(MAX(0,Assumptions!C32-Assumptions!C27))+(MAX(0,Assumptions!C27-Assumptions!C32)))*1000/Assumptions!C34,"-")</f>
        <v>2.0682614193167406</v>
      </c>
      <c r="G77" s="63">
        <f>IF(0.12&gt;0.04,(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19.5)+B141*(1+0.04)/(0.12-0.04)/(1+0.12)^20-(MAX(0,Assumptions!C32-Assumptions!C27))+(MAX(0,Assumptions!C27-Assumptions!C32)))*1000/Assumptions!C34,"-")</f>
        <v>2.1166529761588473</v>
      </c>
    </row>
    <row r="78" spans="1:12" ht="15" customHeight="1" x14ac:dyDescent="0.2">
      <c r="A78" s="62" t="s">
        <v>283</v>
      </c>
      <c r="B78" s="63">
        <f>IF(0.14&gt;0.015,(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19.5)+B141*(1+0.015)/(0.14-0.015)/(1+0.14)^20-(MAX(0,Assumptions!C32-Assumptions!C27))+(MAX(0,Assumptions!C27-Assumptions!C32)))*1000/Assumptions!C34,"-")</f>
        <v>1.5250299217979155</v>
      </c>
      <c r="C78" s="63">
        <f>IF(0.14&gt;0.02,(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19.5)+B141*(1+0.02)/(0.14-0.02)/(1+0.14)^20-(MAX(0,Assumptions!C32-Assumptions!C27))+(MAX(0,Assumptions!C27-Assumptions!C32)))*1000/Assumptions!C34,"-")</f>
        <v>1.5407023938243996</v>
      </c>
      <c r="D78" s="64">
        <f>IF(0.14&gt;0.025,(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19.5)+B141*(1+0.025)/(0.14-0.025)/(1+0.14)^20-(MAX(0,Assumptions!C32-Assumptions!C27))+(MAX(0,Assumptions!C27-Assumptions!C32)))*1000/Assumptions!C34,"-")</f>
        <v>1.557737689505361</v>
      </c>
      <c r="E78" s="64">
        <f>IF(0.14&gt;0.03,(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19.5)+B141*(1+0.03)/(0.14-0.03)/(1+0.14)^20-(MAX(0,Assumptions!C32-Assumptions!C27))+(MAX(0,Assumptions!C27-Assumptions!C32)))*1000/Assumptions!C34,"-")</f>
        <v>1.576321648430046</v>
      </c>
      <c r="F78" s="64">
        <f>IF(0.14&gt;0.035,(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19.5)+B141*(1+0.035)/(0.14-0.035)/(1+0.14)^20-(MAX(0,Assumptions!C32-Assumptions!C27))+(MAX(0,Assumptions!C27-Assumptions!C32)))*1000/Assumptions!C34,"-")</f>
        <v>1.5966755082047006</v>
      </c>
      <c r="G78" s="63">
        <f>IF(0.14&gt;0.04,(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19.5)+B141*(1+0.04)/(0.14-0.04)/(1+0.14)^20-(MAX(0,Assumptions!C32-Assumptions!C27))+(MAX(0,Assumptions!C27-Assumptions!C32)))*1000/Assumptions!C34,"-")</f>
        <v>1.619064753956821</v>
      </c>
    </row>
    <row r="79" spans="1:12" ht="15" customHeight="1" x14ac:dyDescent="0.2">
      <c r="A79" s="62" t="s">
        <v>284</v>
      </c>
      <c r="B79" s="63">
        <f>IF(0.16&gt;0.015,(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19.5)+B141*(1+0.015)/(0.16-0.015)/(1+0.16)^20-(MAX(0,Assumptions!C32-Assumptions!C27))+(MAX(0,Assumptions!C27-Assumptions!C32)))*1000/Assumptions!C34,"-")</f>
        <v>1.2726755962129437</v>
      </c>
      <c r="C79" s="63">
        <f>IF(0.16&gt;0.02,(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19.5)+B141*(1+0.02)/(0.16-0.02)/(1+0.16)^20-(MAX(0,Assumptions!C32-Assumptions!C27))+(MAX(0,Assumptions!C27-Assumptions!C32)))*1000/Assumptions!C34,"-")</f>
        <v>1.2809975079357465</v>
      </c>
      <c r="D79" s="63">
        <f>IF(0.16&gt;0.025,(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19.5)+B141*(1+0.025)/(0.16-0.025)/(1+0.16)^20-(MAX(0,Assumptions!C32-Assumptions!C27))+(MAX(0,Assumptions!C27-Assumptions!C32)))*1000/Assumptions!C34,"-")</f>
        <v>1.2899358575639421</v>
      </c>
      <c r="E79" s="63">
        <f>IF(0.16&gt;0.03,(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19.5)+B141*(1+0.03)/(0.16-0.03)/(1+0.16)^20-(MAX(0,Assumptions!C32-Assumptions!C27))+(MAX(0,Assumptions!C27-Assumptions!C32)))*1000/Assumptions!C34,"-")</f>
        <v>1.299561772548153</v>
      </c>
      <c r="F79" s="63">
        <f>IF(0.16&gt;0.035,(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19.5)+B141*(1+0.035)/(0.16-0.035)/(1+0.16)^20-(MAX(0,Assumptions!C32-Assumptions!C27))+(MAX(0,Assumptions!C27-Assumptions!C32)))*1000/Assumptions!C34,"-")</f>
        <v>1.3099577607311004</v>
      </c>
      <c r="G79" s="63">
        <f>IF(0.16&gt;0.04,(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19.5)+B141*(1+0.04)/(0.16-0.04)/(1+0.16)^20-(MAX(0,Assumptions!C32-Assumptions!C27))+(MAX(0,Assumptions!C27-Assumptions!C32)))*1000/Assumptions!C34,"-")</f>
        <v>1.3212200812626271</v>
      </c>
    </row>
    <row r="80" spans="1:12" ht="15" customHeight="1" x14ac:dyDescent="0.2">
      <c r="A80" s="62" t="s">
        <v>285</v>
      </c>
      <c r="B80" s="63">
        <f>IF(0.18&gt;0.015,(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19.5)+B141*(1+0.015)/(0.18-0.015)/(1+0.18)^20-(MAX(0,Assumptions!C32-Assumptions!C27))+(MAX(0,Assumptions!C27-Assumptions!C32)))*1000/Assumptions!C34,"-")</f>
        <v>1.1051359747374929</v>
      </c>
      <c r="C80" s="63">
        <f>IF(0.18&gt;0.02,(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19.5)+B141*(1+0.02)/(0.18-0.02)/(1+0.18)^20-(MAX(0,Assumptions!C32-Assumptions!C27))+(MAX(0,Assumptions!C27-Assumptions!C32)))*1000/Assumptions!C34,"-")</f>
        <v>1.1097604117886308</v>
      </c>
      <c r="D80" s="63">
        <f>IF(0.18&gt;0.025,(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19.5)+B141*(1+0.025)/(0.18-0.025)/(1+0.18)^20-(MAX(0,Assumptions!C32-Assumptions!C27))+(MAX(0,Assumptions!C27-Assumptions!C32)))*1000/Assumptions!C34,"-")</f>
        <v>1.1146831996172613</v>
      </c>
      <c r="E80" s="63">
        <f>IF(0.18&gt;0.03,(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19.5)+B141*(1+0.03)/(0.18-0.03)/(1+0.18)^20-(MAX(0,Assumptions!C32-Assumptions!C27))+(MAX(0,Assumptions!C27-Assumptions!C32)))*1000/Assumptions!C34,"-")</f>
        <v>1.1199341733011339</v>
      </c>
      <c r="F80" s="63">
        <f>IF(0.18&gt;0.035,(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19.5)+B141*(1+0.035)/(0.18-0.035)/(1+0.18)^20-(MAX(0,Assumptions!C32-Assumptions!C27))+(MAX(0,Assumptions!C27-Assumptions!C32)))*1000/Assumptions!C34,"-")</f>
        <v>1.1255472831011355</v>
      </c>
      <c r="G80" s="63">
        <f>IF(0.18&gt;0.04,(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19.5)+B141*(1+0.04)/(0.18-0.04)/(1+0.18)^20-(MAX(0,Assumptions!C32-Assumptions!C27))+(MAX(0,Assumptions!C27-Assumptions!C32)))*1000/Assumptions!C34,"-")</f>
        <v>1.131561329315423</v>
      </c>
    </row>
    <row r="81" spans="1:7" ht="15" customHeight="1" x14ac:dyDescent="0.2">
      <c r="A81" s="62" t="s">
        <v>286</v>
      </c>
      <c r="B81" s="63">
        <f>IF(0.2&gt;0.015,(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19.5)+B141*(1+0.015)/(0.2-0.015)/(1+0.2)^20-(MAX(0,Assumptions!C32-Assumptions!C27))+(MAX(0,Assumptions!C27-Assumptions!C32)))*1000/Assumptions!C34,"-")</f>
        <v>0.99057803882887252</v>
      </c>
      <c r="C81" s="63">
        <f>IF(0.2&gt;0.02,(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19.5)+B141*(1+0.02)/(0.2-0.02)/(1+0.2)^20-(MAX(0,Assumptions!C32-Assumptions!C27))+(MAX(0,Assumptions!C27-Assumptions!C32)))*1000/Assumptions!C34,"-")</f>
        <v>0.99324203152248858</v>
      </c>
      <c r="D81" s="63">
        <f>IF(0.2&gt;0.025,(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19.5)+B141*(1+0.025)/(0.2-0.025)/(1+0.2)^20-(MAX(0,Assumptions!C32-Assumptions!C27))+(MAX(0,Assumptions!C27-Assumptions!C32)))*1000/Assumptions!C34,"-")</f>
        <v>0.99605825237002554</v>
      </c>
      <c r="E81" s="63">
        <f>IF(0.2&gt;0.03,(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19.5)+B141*(1+0.03)/(0.2-0.03)/(1+0.2)^20-(MAX(0,Assumptions!C32-Assumptions!C27))+(MAX(0,Assumptions!C27-Assumptions!C32)))*1000/Assumptions!C34,"-")</f>
        <v>0.9990401332674177</v>
      </c>
      <c r="F81" s="63">
        <f>IF(0.2&gt;0.035,(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19.5)+B141*(1+0.035)/(0.2-0.035)/(1+0.2)^20-(MAX(0,Assumptions!C32-Assumptions!C27))+(MAX(0,Assumptions!C27-Assumptions!C32)))*1000/Assumptions!C34,"-")</f>
        <v>1.0022027342191973</v>
      </c>
      <c r="G81" s="63">
        <f>IF(0.2&gt;0.04,(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19.5)+B141*(1+0.04)/(0.2-0.04)/(1+0.2)^20-(MAX(0,Assumptions!C32-Assumptions!C27))+(MAX(0,Assumptions!C27-Assumptions!C32)))*1000/Assumptions!C34,"-")</f>
        <v>1.0055629977304628</v>
      </c>
    </row>
    <row r="100" spans="1:4" ht="15" customHeight="1" x14ac:dyDescent="0.2">
      <c r="A100" s="65" t="s">
        <v>287</v>
      </c>
      <c r="B100" s="66"/>
      <c r="C100" s="66"/>
      <c r="D100" s="66"/>
    </row>
    <row r="101" spans="1:4" ht="15" customHeight="1" x14ac:dyDescent="0.2">
      <c r="A101" s="12" t="s">
        <v>258</v>
      </c>
      <c r="B101" s="67" t="s">
        <v>288</v>
      </c>
      <c r="C101" s="67" t="s">
        <v>289</v>
      </c>
      <c r="D101" s="67" t="s">
        <v>290</v>
      </c>
    </row>
    <row r="102" spans="1:4" ht="15" customHeight="1" x14ac:dyDescent="0.2">
      <c r="A102" s="68" t="s">
        <v>291</v>
      </c>
      <c r="B102" s="69">
        <f>Assumptions!D6*(1+Assumptions!B40)</f>
        <v>149376.24</v>
      </c>
      <c r="C102" s="69">
        <f>Assumptions!D6*(1+Assumptions!C40)</f>
        <v>159590</v>
      </c>
      <c r="D102" s="69">
        <f>Assumptions!D6*(1+Assumptions!D40)</f>
        <v>134055.6</v>
      </c>
    </row>
    <row r="103" spans="1:4" ht="15" customHeight="1" x14ac:dyDescent="0.2">
      <c r="A103" s="68" t="s">
        <v>292</v>
      </c>
      <c r="B103" s="69">
        <f>B102*(1+Assumptions!B41)</f>
        <v>179251.48799999998</v>
      </c>
      <c r="C103" s="69">
        <f>C102*(1+Assumptions!C41)</f>
        <v>207467</v>
      </c>
      <c r="D103" s="69">
        <f>D102*(1+Assumptions!D41)</f>
        <v>147461.16000000003</v>
      </c>
    </row>
    <row r="104" spans="1:4" ht="15" customHeight="1" x14ac:dyDescent="0.2">
      <c r="A104" s="68" t="s">
        <v>293</v>
      </c>
      <c r="B104" s="69">
        <f>B103*(1+Assumptions!B42)</f>
        <v>218686.81535999998</v>
      </c>
      <c r="C104" s="69">
        <f>C103*(1+Assumptions!C42)</f>
        <v>269707.10000000003</v>
      </c>
      <c r="D104" s="69">
        <f>D103*(1+Assumptions!D42)</f>
        <v>165156.49920000005</v>
      </c>
    </row>
    <row r="105" spans="1:4" ht="15" customHeight="1" x14ac:dyDescent="0.2">
      <c r="A105" s="68" t="s">
        <v>294</v>
      </c>
      <c r="B105" s="69">
        <f>B104*(1+Assumptions!B43)</f>
        <v>273358.51919999998</v>
      </c>
      <c r="C105" s="69">
        <f>C104*(1+Assumptions!C43)</f>
        <v>350619.23000000004</v>
      </c>
      <c r="D105" s="69">
        <f>D104*(1+Assumptions!D43)</f>
        <v>189929.97408000004</v>
      </c>
    </row>
    <row r="106" spans="1:4" ht="15" customHeight="1" x14ac:dyDescent="0.2">
      <c r="A106" s="68" t="s">
        <v>295</v>
      </c>
      <c r="B106" s="69">
        <f>B105*(1+Assumptions!B44)</f>
        <v>333497.39342399995</v>
      </c>
      <c r="C106" s="69">
        <f>C105*(1+Assumptions!C44)</f>
        <v>448792.61440000008</v>
      </c>
      <c r="D106" s="69">
        <f>D105*(1+Assumptions!D44)</f>
        <v>212721.57096960006</v>
      </c>
    </row>
    <row r="107" spans="1:4" ht="15" customHeight="1" x14ac:dyDescent="0.2">
      <c r="A107" s="68" t="s">
        <v>296</v>
      </c>
      <c r="B107" s="69">
        <f>B106*(1+Assumptions!B45)</f>
        <v>393526.92424031993</v>
      </c>
      <c r="C107" s="69">
        <f>C106*(1+Assumptions!C45)</f>
        <v>547526.98956800008</v>
      </c>
      <c r="D107" s="69">
        <f>D106*(1+Assumptions!D45)</f>
        <v>233993.72806656008</v>
      </c>
    </row>
    <row r="108" spans="1:4" ht="15" customHeight="1" x14ac:dyDescent="0.2">
      <c r="A108" s="68" t="s">
        <v>297</v>
      </c>
      <c r="B108" s="69">
        <f>B107*(1+Assumptions!B45)</f>
        <v>464361.77060357749</v>
      </c>
      <c r="C108" s="69">
        <f>C107*(1+Assumptions!C45)</f>
        <v>667982.92727296008</v>
      </c>
      <c r="D108" s="69">
        <f>D107*(1+Assumptions!D45)</f>
        <v>257393.10087321611</v>
      </c>
    </row>
    <row r="109" spans="1:4" ht="15" customHeight="1" x14ac:dyDescent="0.2">
      <c r="A109" s="68" t="s">
        <v>298</v>
      </c>
      <c r="B109" s="69">
        <f>B108*(1+Assumptions!B45)</f>
        <v>547946.88931222144</v>
      </c>
      <c r="C109" s="69">
        <f>C108*(1+Assumptions!C45)</f>
        <v>814939.17127301125</v>
      </c>
      <c r="D109" s="69">
        <f>D108*(1+Assumptions!D45)</f>
        <v>283132.41096053773</v>
      </c>
    </row>
    <row r="110" spans="1:4" ht="15" customHeight="1" x14ac:dyDescent="0.2">
      <c r="A110" s="68" t="s">
        <v>299</v>
      </c>
      <c r="B110" s="69">
        <f>B109*(1+Assumptions!B45)</f>
        <v>646577.32938842126</v>
      </c>
      <c r="C110" s="69">
        <f>C109*(1+Assumptions!C45)</f>
        <v>994225.78895307367</v>
      </c>
      <c r="D110" s="69">
        <f>D109*(1+Assumptions!D45)</f>
        <v>311445.65205659153</v>
      </c>
    </row>
    <row r="111" spans="1:4" ht="15" customHeight="1" x14ac:dyDescent="0.2">
      <c r="A111" s="68" t="s">
        <v>300</v>
      </c>
      <c r="B111" s="69">
        <f>B110*(1+Assumptions!B45)</f>
        <v>762961.24867833708</v>
      </c>
      <c r="C111" s="69">
        <f>C110*(1+Assumptions!C45)</f>
        <v>1212955.4625227498</v>
      </c>
      <c r="D111" s="69">
        <f>D110*(1+Assumptions!D45)</f>
        <v>342590.21726225072</v>
      </c>
    </row>
    <row r="112" spans="1:4" ht="15" customHeight="1" x14ac:dyDescent="0.2">
      <c r="A112" s="68" t="s">
        <v>301</v>
      </c>
      <c r="B112" s="69">
        <f>B111*(1+Assumptions!B46)</f>
        <v>854516.5985197376</v>
      </c>
      <c r="C112" s="69">
        <f>C111*(1+Assumptions!C46)</f>
        <v>1394898.7819011621</v>
      </c>
      <c r="D112" s="69">
        <f>D111*(1+Assumptions!D46)</f>
        <v>366571.5324706083</v>
      </c>
    </row>
    <row r="113" spans="1:4" ht="15" customHeight="1" x14ac:dyDescent="0.2">
      <c r="A113" s="68" t="s">
        <v>302</v>
      </c>
      <c r="B113" s="69">
        <f>B112*(1+Assumptions!B46)</f>
        <v>957058.59034210618</v>
      </c>
      <c r="C113" s="69">
        <f>C112*(1+Assumptions!C46)</f>
        <v>1604133.5991863364</v>
      </c>
      <c r="D113" s="69">
        <f>D112*(1+Assumptions!D46)</f>
        <v>392231.53974355094</v>
      </c>
    </row>
    <row r="114" spans="1:4" ht="15" customHeight="1" x14ac:dyDescent="0.2">
      <c r="A114" s="68" t="s">
        <v>303</v>
      </c>
      <c r="B114" s="69">
        <f>B113*(1+Assumptions!B46)</f>
        <v>1071905.6211831591</v>
      </c>
      <c r="C114" s="69">
        <f>C113*(1+Assumptions!C46)</f>
        <v>1844753.6390642866</v>
      </c>
      <c r="D114" s="69">
        <f>D113*(1+Assumptions!D46)</f>
        <v>419687.74752559955</v>
      </c>
    </row>
    <row r="115" spans="1:4" ht="15" customHeight="1" x14ac:dyDescent="0.2">
      <c r="A115" s="68" t="s">
        <v>304</v>
      </c>
      <c r="B115" s="69">
        <f>B114*(1+Assumptions!B46)</f>
        <v>1200534.2957251382</v>
      </c>
      <c r="C115" s="69">
        <f>C114*(1+Assumptions!C46)</f>
        <v>2121466.6849239296</v>
      </c>
      <c r="D115" s="69">
        <f>D114*(1+Assumptions!D46)</f>
        <v>449065.88985239156</v>
      </c>
    </row>
    <row r="116" spans="1:4" ht="15" customHeight="1" x14ac:dyDescent="0.2">
      <c r="A116" s="68" t="s">
        <v>305</v>
      </c>
      <c r="B116" s="69">
        <f>B115*(1+Assumptions!B46)</f>
        <v>1344598.4112121549</v>
      </c>
      <c r="C116" s="69">
        <f>C115*(1+Assumptions!C46)</f>
        <v>2439686.687662519</v>
      </c>
      <c r="D116" s="69">
        <f>D115*(1+Assumptions!D46)</f>
        <v>480500.50214205898</v>
      </c>
    </row>
    <row r="117" spans="1:4" ht="15" customHeight="1" x14ac:dyDescent="0.2">
      <c r="A117" s="68" t="s">
        <v>306</v>
      </c>
      <c r="B117" s="69">
        <f>B116*(1+Assumptions!B47)</f>
        <v>1452166.2841091275</v>
      </c>
      <c r="C117" s="69">
        <f>C116*(1+Assumptions!C47)</f>
        <v>2683655.3564287713</v>
      </c>
      <c r="D117" s="69">
        <f>D116*(1+Assumptions!D47)</f>
        <v>504525.52724916197</v>
      </c>
    </row>
    <row r="118" spans="1:4" ht="15" customHeight="1" x14ac:dyDescent="0.2">
      <c r="A118" s="68" t="s">
        <v>307</v>
      </c>
      <c r="B118" s="69">
        <f>B117*(1+Assumptions!B47)</f>
        <v>1568339.5868378577</v>
      </c>
      <c r="C118" s="69">
        <f>C117*(1+Assumptions!C47)</f>
        <v>2952020.8920716485</v>
      </c>
      <c r="D118" s="69">
        <f>D117*(1+Assumptions!D47)</f>
        <v>529751.8036116201</v>
      </c>
    </row>
    <row r="119" spans="1:4" ht="15" customHeight="1" x14ac:dyDescent="0.2">
      <c r="A119" s="68" t="s">
        <v>308</v>
      </c>
      <c r="B119" s="69">
        <f>B118*(1+Assumptions!B47)</f>
        <v>1693806.7537848866</v>
      </c>
      <c r="C119" s="69">
        <f>C118*(1+Assumptions!C47)</f>
        <v>3247222.9812788134</v>
      </c>
      <c r="D119" s="69">
        <f>D118*(1+Assumptions!D47)</f>
        <v>556239.39379220118</v>
      </c>
    </row>
    <row r="120" spans="1:4" ht="15" customHeight="1" x14ac:dyDescent="0.2">
      <c r="A120" s="68" t="s">
        <v>309</v>
      </c>
      <c r="B120" s="69">
        <f>B119*(1+Assumptions!B47)</f>
        <v>1829311.2940876775</v>
      </c>
      <c r="C120" s="69">
        <f>C119*(1+Assumptions!C47)</f>
        <v>3571945.2794066952</v>
      </c>
      <c r="D120" s="69">
        <f>D119*(1+Assumptions!D47)</f>
        <v>584051.36348181125</v>
      </c>
    </row>
    <row r="121" spans="1:4" ht="15" customHeight="1" x14ac:dyDescent="0.2">
      <c r="A121" s="68" t="s">
        <v>310</v>
      </c>
      <c r="B121" s="69">
        <f>B120*(1+Assumptions!B47)</f>
        <v>1975656.1976146919</v>
      </c>
      <c r="C121" s="69">
        <f>C120*(1+Assumptions!C47)</f>
        <v>3929139.8073473652</v>
      </c>
      <c r="D121" s="69">
        <f>D120*(1+Assumptions!D47)</f>
        <v>613253.93165590183</v>
      </c>
    </row>
    <row r="122" spans="1:4" ht="15" customHeight="1" x14ac:dyDescent="0.2">
      <c r="A122" s="68" t="s">
        <v>311</v>
      </c>
      <c r="B122" s="69">
        <f>((B102*Assumptions!B54-B102*Assumptions!B61-B102*Assumptions!B68)*(1-Assumptions!B73))+(B102*Assumptions!B69)-(B102*Assumptions!B70)-((B102-Assumptions!D6)*Assumptions!B72)</f>
        <v>-66810.757600000012</v>
      </c>
      <c r="C122" s="69">
        <f>((C102*Assumptions!C54-C102*Assumptions!C61-C102*Assumptions!C68)*(1-Assumptions!C73))+(C102*Assumptions!C69)-(C102*Assumptions!C70)-((C102-Assumptions!D6)*Assumptions!C72)</f>
        <v>-58409.94</v>
      </c>
      <c r="D122" s="69">
        <f>((D102*Assumptions!D54-D102*Assumptions!D61-D102*Assumptions!D68)*(1-Assumptions!D73))+(D102*Assumptions!D69)-(D102*Assumptions!D70)-((D102-Assumptions!D6)*Assumptions!D72)</f>
        <v>-68637.743919999994</v>
      </c>
    </row>
    <row r="123" spans="1:4" ht="15" customHeight="1" x14ac:dyDescent="0.2">
      <c r="A123" s="68" t="s">
        <v>312</v>
      </c>
      <c r="B123" s="69">
        <f>((B103*Assumptions!B55-B103*Assumptions!B62-B103*Assumptions!B68)*(1-Assumptions!B73))+(B103*Assumptions!B69)-(B103*Assumptions!B70)-((B103-B102)*Assumptions!B72)</f>
        <v>-57061.72368000001</v>
      </c>
      <c r="C123" s="69">
        <f>((C103*Assumptions!C55-C103*Assumptions!C62-C103*Assumptions!C68)*(1-Assumptions!C73))+(C103*Assumptions!C69)-(C103*Assumptions!C70)-((C103-C102)*Assumptions!C72)</f>
        <v>-47079.05</v>
      </c>
      <c r="D123" s="69">
        <f>((D103*Assumptions!D55-D103*Assumptions!D62-D103*Assumptions!D68)*(1-Assumptions!D73))+(D103*Assumptions!D69)-(D103*Assumptions!D70)-((D103-D102)*Assumptions!D72)</f>
        <v>-63006.132000000027</v>
      </c>
    </row>
    <row r="124" spans="1:4" ht="15" customHeight="1" x14ac:dyDescent="0.2">
      <c r="A124" s="68" t="s">
        <v>313</v>
      </c>
      <c r="B124" s="69">
        <f>((B104*Assumptions!B56-B104*Assumptions!B63-B104*Assumptions!B68)*(1-Assumptions!B73))+(B104*Assumptions!B69)-(B104*Assumptions!B70)-((B104-B103)*Assumptions!B72)</f>
        <v>-47895.99759359999</v>
      </c>
      <c r="C124" s="69">
        <f>((C104*Assumptions!C56-C104*Assumptions!C63-C104*Assumptions!C68)*(1-Assumptions!C73))+(C104*Assumptions!C69)-(C104*Assumptions!C70)-((C104-C103)*Assumptions!C72)</f>
        <v>-31534.984000000004</v>
      </c>
      <c r="D124" s="69">
        <f>((D104*Assumptions!D56-D104*Assumptions!D63-D104*Assumptions!D68)*(1-Assumptions!D73))+(D104*Assumptions!D69)-(D104*Assumptions!D70)-((D104-D103)*Assumptions!D72)</f>
        <v>-56214.553570559998</v>
      </c>
    </row>
    <row r="125" spans="1:4" ht="15" customHeight="1" x14ac:dyDescent="0.2">
      <c r="A125" s="68" t="s">
        <v>314</v>
      </c>
      <c r="B125" s="69">
        <f>((B105*Assumptions!B57-B105*Assumptions!B64-B105*Assumptions!B68)*(1-Assumptions!B73))+(B105*Assumptions!B69)-(B105*Assumptions!B70)-((B105-B104)*Assumptions!B72)</f>
        <v>-35536.607495999982</v>
      </c>
      <c r="C125" s="69">
        <f>((C105*Assumptions!C57-C105*Assumptions!C64-C105*Assumptions!C68)*(1-Assumptions!C73))+(C105*Assumptions!C69)-(C105*Assumptions!C70)-((C105-C104)*Assumptions!C72)</f>
        <v>-9439.7485000000124</v>
      </c>
      <c r="D125" s="69">
        <f>((D105*Assumptions!D57-D105*Assumptions!D64-D105*Assumptions!D68)*(1-Assumptions!D73))+(D105*Assumptions!D69)-(D105*Assumptions!D70)-((D105-D104)*Assumptions!D72)</f>
        <v>-50110.133422272011</v>
      </c>
    </row>
    <row r="126" spans="1:4" ht="15" customHeight="1" x14ac:dyDescent="0.2">
      <c r="A126" s="68" t="s">
        <v>315</v>
      </c>
      <c r="B126" s="69">
        <f>((B106*Assumptions!B58-B106*Assumptions!B65-B106*Assumptions!B68)*(1-Assumptions!B73))+(B106*Assumptions!B69)-(B106*Assumptions!B70)-((B106-B105)*Assumptions!B72)</f>
        <v>-23016.787316640006</v>
      </c>
      <c r="C126" s="69">
        <f>((C106*Assumptions!C58-C106*Assumptions!C65-C106*Assumptions!C68)*(1-Assumptions!C73))+(C106*Assumptions!C69)-(C106*Assumptions!C70)-((C106-C105)*Assumptions!C72)</f>
        <v>19494.429188000031</v>
      </c>
      <c r="D126" s="69">
        <f>((D106*Assumptions!D58-D106*Assumptions!D65-D106*Assumptions!D68)*(1-Assumptions!D73))+(D106*Assumptions!D69)-(D106*Assumptions!D70)-((D106-D105)*Assumptions!D72)</f>
        <v>-41134.274066350074</v>
      </c>
    </row>
    <row r="127" spans="1:4" ht="15" customHeight="1" x14ac:dyDescent="0.2">
      <c r="A127" s="68" t="s">
        <v>316</v>
      </c>
      <c r="B127" s="69">
        <f>((B107*Assumptions!B59-B107*Assumptions!B66-B107*Assumptions!B68)*(1-Assumptions!B73))+(B107*Assumptions!B69)-(B107*Assumptions!B70)-((B107-B106)*Assumptions!B72)</f>
        <v>16674.869671199998</v>
      </c>
      <c r="C127" s="69">
        <f>((C107*Assumptions!C59-C107*Assumptions!C66-C107*Assumptions!C68)*(1-Assumptions!C73))+(C107*Assumptions!C69)-(C107*Assumptions!C70)-((C107-C106)*Assumptions!C72)</f>
        <v>79167.017180160037</v>
      </c>
      <c r="D127" s="69">
        <f>((D107*Assumptions!D59-D107*Assumptions!D66-D107*Assumptions!D68)*(1-Assumptions!D73))+(D107*Assumptions!D69)-(D107*Assumptions!D70)-((D107-D106)*Assumptions!D72)</f>
        <v>-24305.566698986513</v>
      </c>
    </row>
    <row r="128" spans="1:4" ht="15" customHeight="1" x14ac:dyDescent="0.2">
      <c r="A128" s="68" t="s">
        <v>317</v>
      </c>
      <c r="B128" s="69">
        <f>((B108*Assumptions!B59-B108*Assumptions!B66-B108*Assumptions!B68)*(1-Assumptions!B73))+(B108*Assumptions!B69)-(B108*Assumptions!B70)-((B108-B107)*Assumptions!B72)</f>
        <v>19676.346212015982</v>
      </c>
      <c r="C128" s="69">
        <f>((C108*Assumptions!C59-C108*Assumptions!C66-C108*Assumptions!C68)*(1-Assumptions!C73))+(C108*Assumptions!C69)-(C108*Assumptions!C70)-((C108-C107)*Assumptions!C72)</f>
        <v>96583.76095979524</v>
      </c>
      <c r="D128" s="69">
        <f>((D108*Assumptions!D59-D108*Assumptions!D66-D108*Assumptions!D68)*(1-Assumptions!D73))+(D108*Assumptions!D69)-(D108*Assumptions!D70)-((D108-D107)*Assumptions!D72)</f>
        <v>-26736.123368885164</v>
      </c>
    </row>
    <row r="129" spans="1:4" ht="15" customHeight="1" x14ac:dyDescent="0.2">
      <c r="A129" s="68" t="s">
        <v>318</v>
      </c>
      <c r="B129" s="69">
        <f>((B109*Assumptions!B59-B109*Assumptions!B66-B109*Assumptions!B68)*(1-Assumptions!B73))+(B109*Assumptions!B69)-(B109*Assumptions!B70)-((B109-B108)*Assumptions!B72)</f>
        <v>23218.088530178884</v>
      </c>
      <c r="C129" s="69">
        <f>((C109*Assumptions!C59-C109*Assumptions!C66-C109*Assumptions!C68)*(1-Assumptions!C73))+(C109*Assumptions!C69)-(C109*Assumptions!C70)-((C109-C108)*Assumptions!C72)</f>
        <v>117832.18837095017</v>
      </c>
      <c r="D129" s="69">
        <f>((D109*Assumptions!D59-D109*Assumptions!D66-D109*Assumptions!D68)*(1-Assumptions!D73))+(D109*Assumptions!D69)-(D109*Assumptions!D70)-((D109-D108)*Assumptions!D72)</f>
        <v>-29409.735705773674</v>
      </c>
    </row>
    <row r="130" spans="1:4" ht="15" customHeight="1" x14ac:dyDescent="0.2">
      <c r="A130" s="68" t="s">
        <v>319</v>
      </c>
      <c r="B130" s="69">
        <f>((B110*Assumptions!B59-B110*Assumptions!B66-B110*Assumptions!B68)*(1-Assumptions!B73))+(B110*Assumptions!B69)-(B110*Assumptions!B70)-((B110-B109)*Assumptions!B72)</f>
        <v>27397.344465611102</v>
      </c>
      <c r="C130" s="69">
        <f>((C110*Assumptions!C59-C110*Assumptions!C66-C110*Assumptions!C68)*(1-Assumptions!C73))+(C110*Assumptions!C69)-(C110*Assumptions!C70)-((C110-C109)*Assumptions!C72)</f>
        <v>143755.26981255916</v>
      </c>
      <c r="D130" s="69">
        <f>((D110*Assumptions!D59-D110*Assumptions!D66-D110*Assumptions!D68)*(1-Assumptions!D73))+(D110*Assumptions!D69)-(D110*Assumptions!D70)-((D110-D109)*Assumptions!D72)</f>
        <v>-32350.709276351059</v>
      </c>
    </row>
    <row r="131" spans="1:4" ht="15" customHeight="1" x14ac:dyDescent="0.2">
      <c r="A131" s="68" t="s">
        <v>320</v>
      </c>
      <c r="B131" s="69">
        <f>((B111*Assumptions!B59-B111*Assumptions!B66-B111*Assumptions!B68)*(1-Assumptions!B73))+(B111*Assumptions!B69)-(B111*Assumptions!B70)-((B111-B110)*Assumptions!B72)</f>
        <v>32328.866469421067</v>
      </c>
      <c r="C131" s="69">
        <f>((C111*Assumptions!C59-C111*Assumptions!C66-C111*Assumptions!C68)*(1-Assumptions!C73))+(C111*Assumptions!C69)-(C111*Assumptions!C70)-((C111-C110)*Assumptions!C72)</f>
        <v>175381.4291713222</v>
      </c>
      <c r="D131" s="69">
        <f>((D111*Assumptions!D59-D111*Assumptions!D66-D111*Assumptions!D68)*(1-Assumptions!D73))+(D111*Assumptions!D69)-(D111*Assumptions!D70)-((D111-D110)*Assumptions!D72)</f>
        <v>-35585.780203986171</v>
      </c>
    </row>
    <row r="132" spans="1:4" ht="15" customHeight="1" x14ac:dyDescent="0.2">
      <c r="A132" s="68" t="s">
        <v>321</v>
      </c>
      <c r="B132" s="69">
        <f>((B112*Assumptions!B60-B112*Assumptions!B67-B112*Assumptions!B68)*(1-Assumptions!B73))+(B112*Assumptions!B69)-(B112*Assumptions!B70)-((B112-B111)*Assumptions!B72)</f>
        <v>115054.55630069325</v>
      </c>
      <c r="C132" s="69">
        <f>((C112*Assumptions!C60-C112*Assumptions!C67-C112*Assumptions!C68)*(1-Assumptions!C73))+(C112*Assumptions!C69)-(C112*Assumptions!C70)-((C112-C111)*Assumptions!C72)</f>
        <v>343266.39589393814</v>
      </c>
      <c r="D132" s="69">
        <f>((D112*Assumptions!D60-D112*Assumptions!D67-D112*Assumptions!D68)*(1-Assumptions!D73))+(D112*Assumptions!D69)-(D112*Assumptions!D70)-((D112-D111)*Assumptions!D72)</f>
        <v>-12182.508125845634</v>
      </c>
    </row>
    <row r="133" spans="1:4" ht="15" customHeight="1" x14ac:dyDescent="0.2">
      <c r="A133" s="68" t="s">
        <v>322</v>
      </c>
      <c r="B133" s="69">
        <f>((B113*Assumptions!B60-B113*Assumptions!B67-B113*Assumptions!B68)*(1-Assumptions!B73))+(B113*Assumptions!B69)-(B113*Assumptions!B70)-((B113-B112)*Assumptions!B72)</f>
        <v>128861.1030567764</v>
      </c>
      <c r="C133" s="69">
        <f>((C113*Assumptions!C60-C113*Assumptions!C67-C113*Assumptions!C68)*(1-Assumptions!C73))+(C113*Assumptions!C69)-(C113*Assumptions!C70)-((C113-C112)*Assumptions!C72)</f>
        <v>394756.35527802882</v>
      </c>
      <c r="D133" s="69">
        <f>((D113*Assumptions!D60-D113*Assumptions!D67-D113*Assumptions!D68)*(1-Assumptions!D73))+(D113*Assumptions!D69)-(D113*Assumptions!D70)-((D113-D112)*Assumptions!D72)</f>
        <v>-13035.283694654821</v>
      </c>
    </row>
    <row r="134" spans="1:4" ht="15" customHeight="1" x14ac:dyDescent="0.2">
      <c r="A134" s="68" t="s">
        <v>323</v>
      </c>
      <c r="B134" s="69">
        <f>((B114*Assumptions!B60-B114*Assumptions!B67-B114*Assumptions!B68)*(1-Assumptions!B73))+(B114*Assumptions!B69)-(B114*Assumptions!B70)-((B114-B113)*Assumptions!B72)</f>
        <v>144324.4354235896</v>
      </c>
      <c r="C134" s="69">
        <f>((C114*Assumptions!C60-C114*Assumptions!C67-C114*Assumptions!C68)*(1-Assumptions!C73))+(C114*Assumptions!C69)-(C114*Assumptions!C70)-((C114-C113)*Assumptions!C72)</f>
        <v>453969.80856973311</v>
      </c>
      <c r="D134" s="69">
        <f>((D114*Assumptions!D60-D114*Assumptions!D67-D114*Assumptions!D68)*(1-Assumptions!D73))+(D114*Assumptions!D69)-(D114*Assumptions!D70)-((D114-D113)*Assumptions!D72)</f>
        <v>-13947.75355328068</v>
      </c>
    </row>
    <row r="135" spans="1:4" ht="15" customHeight="1" x14ac:dyDescent="0.2">
      <c r="A135" s="68" t="s">
        <v>324</v>
      </c>
      <c r="B135" s="69">
        <f>((B115*Assumptions!B60-B115*Assumptions!B67-B115*Assumptions!B68)*(1-Assumptions!B73))+(B115*Assumptions!B69)-(B115*Assumptions!B70)-((B115-B114)*Assumptions!B72)</f>
        <v>161643.36767442038</v>
      </c>
      <c r="C135" s="69">
        <f>((C115*Assumptions!C60-C115*Assumptions!C67-C115*Assumptions!C68)*(1-Assumptions!C73))+(C115*Assumptions!C69)-(C115*Assumptions!C70)-((C115-C114)*Assumptions!C72)</f>
        <v>522065.2798551931</v>
      </c>
      <c r="D135" s="69">
        <f>((D115*Assumptions!D60-D115*Assumptions!D67-D115*Assumptions!D68)*(1-Assumptions!D73))+(D115*Assumptions!D69)-(D115*Assumptions!D70)-((D115-D114)*Assumptions!D72)</f>
        <v>-14924.096302010314</v>
      </c>
    </row>
    <row r="136" spans="1:4" ht="15" customHeight="1" x14ac:dyDescent="0.2">
      <c r="A136" s="68" t="s">
        <v>325</v>
      </c>
      <c r="B136" s="69">
        <f>((B116*Assumptions!B60-B116*Assumptions!B67-B116*Assumptions!B68)*(1-Assumptions!B73))+(B116*Assumptions!B69)-(B116*Assumptions!B70)-((B116-B115)*Assumptions!B72)</f>
        <v>181040.57179535076</v>
      </c>
      <c r="C136" s="69">
        <f>((C116*Assumptions!C60-C116*Assumptions!C67-C116*Assumptions!C68)*(1-Assumptions!C73))+(C116*Assumptions!C69)-(C116*Assumptions!C70)-((C116-C115)*Assumptions!C72)</f>
        <v>600375.07183347223</v>
      </c>
      <c r="D136" s="69">
        <f>((D116*Assumptions!D60-D116*Assumptions!D67-D116*Assumptions!D68)*(1-Assumptions!D73))+(D116*Assumptions!D69)-(D116*Assumptions!D70)-((D116-D115)*Assumptions!D72)</f>
        <v>-15968.783043151039</v>
      </c>
    </row>
    <row r="137" spans="1:4" ht="15" customHeight="1" x14ac:dyDescent="0.2">
      <c r="A137" s="68" t="s">
        <v>326</v>
      </c>
      <c r="B137" s="69">
        <f>((B117*Assumptions!B60-B117*Assumptions!B67-B117*Assumptions!B68)*(1-Assumptions!B73))+(B117*Assumptions!B69)-(B117*Assumptions!B70)-((B117-B116)*Assumptions!B72)</f>
        <v>197924.88613042916</v>
      </c>
      <c r="C137" s="69">
        <f>((C117*Assumptions!C60-C117*Assumptions!C67-C117*Assumptions!C68)*(1-Assumptions!C73))+(C117*Assumptions!C69)-(C117*Assumptions!C70)-((C117-C116)*Assumptions!C72)</f>
        <v>663594.77904420509</v>
      </c>
      <c r="D137" s="69">
        <f>((D117*Assumptions!D60-D117*Assumptions!D67-D117*Assumptions!D68)*(1-Assumptions!D73))+(D117*Assumptions!D69)-(D117*Assumptions!D70)-((D117-D116)*Assumptions!D72)</f>
        <v>-16048.716771544767</v>
      </c>
    </row>
    <row r="138" spans="1:4" ht="15" customHeight="1" x14ac:dyDescent="0.2">
      <c r="A138" s="68" t="s">
        <v>327</v>
      </c>
      <c r="B138" s="69">
        <f>((B118*Assumptions!B60-B118*Assumptions!B67-B118*Assumptions!B68)*(1-Assumptions!B73))+(B118*Assumptions!B69)-(B118*Assumptions!B70)-((B118-B117)*Assumptions!B72)</f>
        <v>213758.87702086358</v>
      </c>
      <c r="C138" s="69">
        <f>((C118*Assumptions!C60-C118*Assumptions!C67-C118*Assumptions!C68)*(1-Assumptions!C73))+(C118*Assumptions!C69)-(C118*Assumptions!C70)-((C118-C117)*Assumptions!C72)</f>
        <v>729954.25694862567</v>
      </c>
      <c r="D138" s="69">
        <f>((D118*Assumptions!D60-D118*Assumptions!D67-D118*Assumptions!D68)*(1-Assumptions!D73))+(D118*Assumptions!D69)-(D118*Assumptions!D70)-((D118-D117)*Assumptions!D72)</f>
        <v>-16851.152610121993</v>
      </c>
    </row>
    <row r="139" spans="1:4" ht="15" customHeight="1" x14ac:dyDescent="0.2">
      <c r="A139" s="68" t="s">
        <v>328</v>
      </c>
      <c r="B139" s="69">
        <f>((B119*Assumptions!B60-B119*Assumptions!B67-B119*Assumptions!B68)*(1-Assumptions!B73))+(B119*Assumptions!B69)-(B119*Assumptions!B70)-((B119-B118)*Assumptions!B72)</f>
        <v>230859.58718253268</v>
      </c>
      <c r="C139" s="69">
        <f>((C119*Assumptions!C60-C119*Assumptions!C67-C119*Assumptions!C68)*(1-Assumptions!C73))+(C119*Assumptions!C69)-(C119*Assumptions!C70)-((C119-C118)*Assumptions!C72)</f>
        <v>802949.68264348828</v>
      </c>
      <c r="D139" s="69">
        <f>((D119*Assumptions!D60-D119*Assumptions!D67-D119*Assumptions!D68)*(1-Assumptions!D73))+(D119*Assumptions!D69)-(D119*Assumptions!D70)-((D119-D118)*Assumptions!D72)</f>
        <v>-17693.710240628083</v>
      </c>
    </row>
    <row r="140" spans="1:4" ht="15" customHeight="1" x14ac:dyDescent="0.2">
      <c r="A140" s="68" t="s">
        <v>329</v>
      </c>
      <c r="B140" s="69">
        <f>((B120*Assumptions!B60-B120*Assumptions!B67-B120*Assumptions!B68)*(1-Assumptions!B73))+(B120*Assumptions!B69)-(B120*Assumptions!B70)-((B120-B119)*Assumptions!B72)</f>
        <v>249328.35415713533</v>
      </c>
      <c r="C140" s="69">
        <f>((C120*Assumptions!C60-C120*Assumptions!C67-C120*Assumptions!C68)*(1-Assumptions!C73))+(C120*Assumptions!C69)-(C120*Assumptions!C70)-((C120-C119)*Assumptions!C72)</f>
        <v>883244.6509078372</v>
      </c>
      <c r="D140" s="69">
        <f>((D120*Assumptions!D60-D120*Assumptions!D67-D120*Assumptions!D68)*(1-Assumptions!D73))+(D120*Assumptions!D69)-(D120*Assumptions!D70)-((D120-D119)*Assumptions!D72)</f>
        <v>-18578.395752659482</v>
      </c>
    </row>
    <row r="141" spans="1:4" ht="15" customHeight="1" x14ac:dyDescent="0.2">
      <c r="A141" s="68" t="s">
        <v>330</v>
      </c>
      <c r="B141" s="69">
        <f>((B121*Assumptions!B60-B121*Assumptions!B67-B121*Assumptions!B68)*(1-Assumptions!B73))+(B121*Assumptions!B69)-(B121*Assumptions!B70)-((B121-B120)*Assumptions!B72)</f>
        <v>269274.62248970609</v>
      </c>
      <c r="C141" s="69">
        <f>((C121*Assumptions!C60-C121*Assumptions!C67-C121*Assumptions!C68)*(1-Assumptions!C73))+(C121*Assumptions!C69)-(C121*Assumptions!C70)-((C121-C120)*Assumptions!C72)</f>
        <v>971569.11599862122</v>
      </c>
      <c r="D141" s="69">
        <f>((D121*Assumptions!D60-D121*Assumptions!D67-D121*Assumptions!D68)*(1-Assumptions!D73))+(D121*Assumptions!D69)-(D121*Assumptions!D70)-((D121-D120)*Assumptions!D72)</f>
        <v>-19507.315540292475</v>
      </c>
    </row>
    <row r="142" spans="1:4" ht="15" customHeight="1" x14ac:dyDescent="0.2">
      <c r="A142" s="68" t="s">
        <v>331</v>
      </c>
      <c r="B142" s="69">
        <f>B122/(1+Assumptions!B87)^0.5</f>
        <v>-61713.579616380172</v>
      </c>
      <c r="C142" s="69">
        <f>C122/(1+Assumptions!C87)^0.5</f>
        <v>-54613.89752002473</v>
      </c>
      <c r="D142" s="69">
        <f>D122/(1+Assumptions!D87)^0.5</f>
        <v>-62661.056403652365</v>
      </c>
    </row>
    <row r="143" spans="1:4" ht="15" customHeight="1" x14ac:dyDescent="0.2">
      <c r="A143" s="68" t="s">
        <v>332</v>
      </c>
      <c r="B143" s="69">
        <f>B123/(1+Assumptions!B87)^1.5</f>
        <v>-44972.591130740213</v>
      </c>
      <c r="C143" s="69">
        <f>C123/(1+Assumptions!C87)^1.5</f>
        <v>-38483.709133962097</v>
      </c>
      <c r="D143" s="69">
        <f>D123/(1+Assumptions!D87)^1.5</f>
        <v>-47938.777593536746</v>
      </c>
    </row>
    <row r="144" spans="1:4" ht="15" customHeight="1" x14ac:dyDescent="0.2">
      <c r="A144" s="68" t="s">
        <v>333</v>
      </c>
      <c r="B144" s="69">
        <f>B124/(1+Assumptions!B87)^2.5</f>
        <v>-32208.531939782817</v>
      </c>
      <c r="C144" s="69">
        <f>C124/(1+Assumptions!C87)^2.5</f>
        <v>-22535.887692116965</v>
      </c>
      <c r="D144" s="69">
        <f>D124/(1+Assumptions!D87)^2.5</f>
        <v>-35646.945943352017</v>
      </c>
    </row>
    <row r="145" spans="1:4" ht="15" customHeight="1" x14ac:dyDescent="0.2">
      <c r="A145" s="68" t="s">
        <v>334</v>
      </c>
      <c r="B145" s="69">
        <f>B125/(1+Assumptions!B87)^3.5</f>
        <v>-20389.959123214208</v>
      </c>
      <c r="C145" s="69">
        <f>C125/(1+Assumptions!C87)^3.5</f>
        <v>-5897.599819671711</v>
      </c>
      <c r="D145" s="69">
        <f>D125/(1+Assumptions!D87)^3.5</f>
        <v>-26483.083215771589</v>
      </c>
    </row>
    <row r="146" spans="1:4" ht="15" customHeight="1" x14ac:dyDescent="0.2">
      <c r="A146" s="68" t="s">
        <v>335</v>
      </c>
      <c r="B146" s="69">
        <f>B126/(1+Assumptions!B87)^4.5</f>
        <v>-11268.180031114447</v>
      </c>
      <c r="C146" s="69">
        <f>C126/(1+Assumptions!C87)^4.5</f>
        <v>10647.759217273355</v>
      </c>
      <c r="D146" s="69">
        <f>D126/(1+Assumptions!D87)^4.5</f>
        <v>-18118.250006241837</v>
      </c>
    </row>
    <row r="147" spans="1:4" ht="15" customHeight="1" x14ac:dyDescent="0.2">
      <c r="A147" s="68" t="s">
        <v>336</v>
      </c>
      <c r="B147" s="69">
        <f>B127/(1+Assumptions!B87)^5.5</f>
        <v>6965.3060435325087</v>
      </c>
      <c r="C147" s="69">
        <f>C127/(1+Assumptions!C87)^5.5</f>
        <v>37802.87257795535</v>
      </c>
      <c r="D147" s="69">
        <f>D127/(1+Assumptions!D87)^5.5</f>
        <v>-8922.5211617431269</v>
      </c>
    </row>
    <row r="148" spans="1:4" ht="15" customHeight="1" x14ac:dyDescent="0.2">
      <c r="A148" s="68" t="s">
        <v>337</v>
      </c>
      <c r="B148" s="69">
        <f>B128/(1+Assumptions!B87)^6.5</f>
        <v>7012.7909585825664</v>
      </c>
      <c r="C148" s="69">
        <f>C128/(1+Assumptions!C87)^6.5</f>
        <v>40319.715123207709</v>
      </c>
      <c r="D148" s="69">
        <f>D128/(1+Assumptions!D87)^6.5</f>
        <v>-8179.9320570045174</v>
      </c>
    </row>
    <row r="149" spans="1:4" ht="15" customHeight="1" x14ac:dyDescent="0.2">
      <c r="A149" s="68" t="s">
        <v>338</v>
      </c>
      <c r="B149" s="69">
        <f>B129/(1+Assumptions!B87)^7.5</f>
        <v>7060.599594822088</v>
      </c>
      <c r="C149" s="69">
        <f>C129/(1+Assumptions!C87)^7.5</f>
        <v>43004.124204165251</v>
      </c>
      <c r="D149" s="69">
        <f>D129/(1+Assumptions!D87)^7.5</f>
        <v>-7499.1459526152776</v>
      </c>
    </row>
    <row r="150" spans="1:4" ht="15" customHeight="1" x14ac:dyDescent="0.2">
      <c r="A150" s="68" t="s">
        <v>339</v>
      </c>
      <c r="B150" s="69">
        <f>B130/(1+Assumptions!B87)^8.5</f>
        <v>7108.7341591710574</v>
      </c>
      <c r="C150" s="69">
        <f>C130/(1+Assumptions!C87)^8.5</f>
        <v>45867.256078473547</v>
      </c>
      <c r="D150" s="69">
        <f>D130/(1+Assumptions!D87)^8.5</f>
        <v>-6875.0192088050371</v>
      </c>
    </row>
    <row r="151" spans="1:4" ht="15" customHeight="1" x14ac:dyDescent="0.2">
      <c r="A151" s="68" t="s">
        <v>340</v>
      </c>
      <c r="B151" s="69">
        <f>B131/(1+Assumptions!B87)^9.5</f>
        <v>7157.1968735947967</v>
      </c>
      <c r="C151" s="69">
        <f>C131/(1+Assumptions!C87)^9.5</f>
        <v>48921.009765954077</v>
      </c>
      <c r="D151" s="69">
        <f>D131/(1+Assumptions!D87)^9.5</f>
        <v>-6302.8362723030523</v>
      </c>
    </row>
    <row r="152" spans="1:4" ht="15" customHeight="1" x14ac:dyDescent="0.2">
      <c r="A152" s="68" t="s">
        <v>341</v>
      </c>
      <c r="B152" s="69">
        <f>B132/(1+Assumptions!B87)^10.5</f>
        <v>21733.265765223037</v>
      </c>
      <c r="C152" s="69">
        <f>C132/(1+Assumptions!C87)^10.5</f>
        <v>83709.725904645878</v>
      </c>
      <c r="D152" s="69">
        <f>D132/(1+Assumptions!D87)^10.5</f>
        <v>-1798.3145908959673</v>
      </c>
    </row>
    <row r="153" spans="1:4" ht="15" customHeight="1" x14ac:dyDescent="0.2">
      <c r="A153" s="68" t="s">
        <v>342</v>
      </c>
      <c r="B153" s="69">
        <f>B133/(1+Assumptions!B87)^11.5</f>
        <v>20768.813966646867</v>
      </c>
      <c r="C153" s="69">
        <f>C133/(1+Assumptions!C87)^11.5</f>
        <v>84160.165748281244</v>
      </c>
      <c r="D153" s="69">
        <f>D133/(1+Assumptions!D87)^11.5</f>
        <v>-1603.6842733807975</v>
      </c>
    </row>
    <row r="154" spans="1:4" ht="15" customHeight="1" x14ac:dyDescent="0.2">
      <c r="A154" s="68" t="s">
        <v>343</v>
      </c>
      <c r="B154" s="69">
        <f>B134/(1+Assumptions!B87)^12.5</f>
        <v>19847.161408729018</v>
      </c>
      <c r="C154" s="69">
        <f>C134/(1+Assumptions!C87)^12.5</f>
        <v>84613.029396923026</v>
      </c>
      <c r="D154" s="69">
        <f>D134/(1+Assumptions!D87)^12.5</f>
        <v>-1430.1186576079347</v>
      </c>
    </row>
    <row r="155" spans="1:4" ht="15" customHeight="1" x14ac:dyDescent="0.2">
      <c r="A155" s="68" t="s">
        <v>344</v>
      </c>
      <c r="B155" s="69">
        <f>B135/(1+Assumptions!B87)^13.5</f>
        <v>18966.408800075518</v>
      </c>
      <c r="C155" s="69">
        <f>C135/(1+Assumptions!C87)^13.5</f>
        <v>85068.329893002534</v>
      </c>
      <c r="D155" s="69">
        <f>D135/(1+Assumptions!D87)^13.5</f>
        <v>-1275.3379257917497</v>
      </c>
    </row>
    <row r="156" spans="1:4" ht="15" customHeight="1" x14ac:dyDescent="0.2">
      <c r="A156" s="68" t="s">
        <v>345</v>
      </c>
      <c r="B156" s="69">
        <f>B136/(1+Assumptions!B87)^14.5</f>
        <v>18124.741133680232</v>
      </c>
      <c r="C156" s="69">
        <f>C136/(1+Assumptions!C87)^14.5</f>
        <v>85526.080349132055</v>
      </c>
      <c r="D156" s="69">
        <f>D136/(1+Assumptions!D87)^14.5</f>
        <v>-1137.3090032146856</v>
      </c>
    </row>
    <row r="157" spans="1:4" ht="15" customHeight="1" x14ac:dyDescent="0.2">
      <c r="A157" s="68" t="s">
        <v>346</v>
      </c>
      <c r="B157" s="69">
        <f>B137/(1+Assumptions!B87)^15.5</f>
        <v>16906.939024853851</v>
      </c>
      <c r="C157" s="69">
        <f>C137/(1+Assumptions!C87)^15.5</f>
        <v>82644.070508788689</v>
      </c>
      <c r="D157" s="69">
        <f>D137/(1+Assumptions!D87)^15.5</f>
        <v>-952.61275881713857</v>
      </c>
    </row>
    <row r="158" spans="1:4" ht="15" customHeight="1" x14ac:dyDescent="0.2">
      <c r="A158" s="68" t="s">
        <v>347</v>
      </c>
      <c r="B158" s="69">
        <f>B138/(1+Assumptions!B87)^16.5</f>
        <v>15579.640230750727</v>
      </c>
      <c r="C158" s="69">
        <f>C138/(1+Assumptions!C87)^16.5</f>
        <v>79476.220606522373</v>
      </c>
      <c r="D158" s="69">
        <f>D138/(1+Assumptions!D87)^16.5</f>
        <v>-833.63342119746858</v>
      </c>
    </row>
    <row r="159" spans="1:4" ht="15" customHeight="1" x14ac:dyDescent="0.2">
      <c r="A159" s="68" t="s">
        <v>348</v>
      </c>
      <c r="B159" s="69">
        <f>B139/(1+Assumptions!B87)^17.5</f>
        <v>14356.54256295662</v>
      </c>
      <c r="C159" s="69">
        <f>C139/(1+Assumptions!C87)^17.5</f>
        <v>76429.798326849006</v>
      </c>
      <c r="D159" s="69">
        <f>D139/(1+Assumptions!D87)^17.5</f>
        <v>-729.51435355569959</v>
      </c>
    </row>
    <row r="160" spans="1:4" ht="15" customHeight="1" x14ac:dyDescent="0.2">
      <c r="A160" s="68" t="s">
        <v>349</v>
      </c>
      <c r="B160" s="69">
        <f>B140/(1+Assumptions!B87)^18.5</f>
        <v>13229.465591584672</v>
      </c>
      <c r="C160" s="69">
        <f>C140/(1+Assumptions!C87)^18.5</f>
        <v>73500.14919812906</v>
      </c>
      <c r="D160" s="69">
        <f>D140/(1+Assumptions!D87)^18.5</f>
        <v>-638.39953930748959</v>
      </c>
    </row>
    <row r="161" spans="1:4" ht="15" customHeight="1" x14ac:dyDescent="0.2">
      <c r="A161" s="68" t="s">
        <v>350</v>
      </c>
      <c r="B161" s="69">
        <f>B141/(1+Assumptions!B87)^19.5</f>
        <v>12190.871100853614</v>
      </c>
      <c r="C161" s="69">
        <f>C141/(1+Assumptions!C87)^19.5</f>
        <v>70682.797160403701</v>
      </c>
      <c r="D161" s="69">
        <f>D141/(1+Assumptions!D87)^19.5</f>
        <v>-558.6647744510733</v>
      </c>
    </row>
    <row r="162" spans="1:4" ht="15" customHeight="1" x14ac:dyDescent="0.2">
      <c r="A162" s="67" t="s">
        <v>351</v>
      </c>
      <c r="B162" s="69">
        <f>SUM(B142:B161)</f>
        <v>36455.635373825324</v>
      </c>
      <c r="C162" s="69">
        <f>SUM(C142:C161)</f>
        <v>910842.00989393133</v>
      </c>
      <c r="D162" s="69">
        <f>SUM(D142:D161)</f>
        <v>-239585.15711324551</v>
      </c>
    </row>
    <row r="163" spans="1:4" ht="15" customHeight="1" x14ac:dyDescent="0.2">
      <c r="A163" s="67" t="s">
        <v>352</v>
      </c>
      <c r="B163" s="69">
        <f>IF(Assumptions!B87&gt;Assumptions!B92,B141*(1+Assumptions!B92)/(Assumptions!B87-Assumptions!B92),0)</f>
        <v>1953051.6242827778</v>
      </c>
      <c r="C163" s="69">
        <f>IF(Assumptions!C87&gt;Assumptions!C92,C141*(1+Assumptions!C92)/(Assumptions!C87-Assumptions!C92),0)</f>
        <v>9238587.3035837468</v>
      </c>
      <c r="D163" s="69">
        <f>IF(Assumptions!D87&gt;Assumptions!D92,D141*(1+Assumptions!D92)/(Assumptions!D87-Assumptions!D92),0)</f>
        <v>-114348.61276907117</v>
      </c>
    </row>
    <row r="164" spans="1:4" ht="15" customHeight="1" x14ac:dyDescent="0.2">
      <c r="A164" s="67" t="s">
        <v>353</v>
      </c>
      <c r="B164" s="69">
        <f>B163/(1+Assumptions!B87)^20</f>
        <v>81674.66803526241</v>
      </c>
      <c r="C164" s="69">
        <f>C163/(1+Assumptions!C87)^20</f>
        <v>628437.37331065536</v>
      </c>
      <c r="D164" s="69">
        <f>D163/(1+Assumptions!D87)^20</f>
        <v>-2989.6434192785632</v>
      </c>
    </row>
    <row r="165" spans="1:4" ht="15" customHeight="1" x14ac:dyDescent="0.2">
      <c r="A165" s="67" t="s">
        <v>354</v>
      </c>
      <c r="B165" s="69">
        <f>B162+B164</f>
        <v>118130.30340908773</v>
      </c>
      <c r="C165" s="69">
        <f>C162+C164</f>
        <v>1539279.3832045868</v>
      </c>
      <c r="D165" s="69">
        <f>D162+D164</f>
        <v>-242574.80053252407</v>
      </c>
    </row>
    <row r="166" spans="1:4" ht="15" customHeight="1" x14ac:dyDescent="0.2">
      <c r="A166" s="67" t="s">
        <v>355</v>
      </c>
      <c r="B166" s="69">
        <f>B165-MAX(0,Assumptions!C32-Assumptions!C27)+MAX(0,Assumptions!C27-Assumptions!C32)</f>
        <v>561998.3034090877</v>
      </c>
      <c r="C166" s="69">
        <f>C165-MAX(0,Assumptions!C32-Assumptions!C27)+MAX(0,Assumptions!C27-Assumptions!C32)</f>
        <v>1983147.3832045868</v>
      </c>
      <c r="D166" s="69">
        <f>D165-MAX(0,Assumptions!C32-Assumptions!C27)+MAX(0,Assumptions!C27-Assumptions!C32)</f>
        <v>201293.19946747593</v>
      </c>
    </row>
    <row r="167" spans="1:4" ht="15" customHeight="1" x14ac:dyDescent="0.2">
      <c r="A167" s="67" t="s">
        <v>356</v>
      </c>
      <c r="B167" s="70">
        <f>IF(Assumptions!C34&gt;0,B166*1000/Assumptions!C34,0)</f>
        <v>1.1830157108835757</v>
      </c>
      <c r="C167" s="70">
        <f>IF(Assumptions!C34&gt;0,C166*1000/Assumptions!C34,0)</f>
        <v>4.1745579961669685</v>
      </c>
      <c r="D167" s="70">
        <f>IF(Assumptions!C34&gt;0,D166*1000/Assumptions!C34,0)</f>
        <v>0.42372550952472277</v>
      </c>
    </row>
  </sheetData>
  <mergeCells count="11">
    <mergeCell ref="A74:L74"/>
    <mergeCell ref="A27:V27"/>
    <mergeCell ref="A33:V33"/>
    <mergeCell ref="A41:V41"/>
    <mergeCell ref="A48:V48"/>
    <mergeCell ref="A57:H57"/>
    <mergeCell ref="A1:V1"/>
    <mergeCell ref="A2:V2"/>
    <mergeCell ref="A4:V4"/>
    <mergeCell ref="A7:V7"/>
    <mergeCell ref="A18:V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zoomScaleNormal="100" workbookViewId="0">
      <pane xSplit="1" ySplit="2" topLeftCell="B3" activePane="bottomRight" state="frozen"/>
      <selection pane="bottomLeft" activeCell="A3" sqref="A3"/>
      <selection pane="topRight" activeCell="B1" sqref="B1"/>
      <selection pane="bottomRight"/>
    </sheetView>
  </sheetViews>
  <sheetFormatPr defaultColWidth="8.7421875" defaultRowHeight="15" x14ac:dyDescent="0.2"/>
  <cols>
    <col min="1" max="1" width="29.99609375" style="12" customWidth="1"/>
    <col min="2" max="21" width="11.02734375" style="12" customWidth="1"/>
  </cols>
  <sheetData>
    <row r="1" spans="1:21" ht="24" customHeight="1" x14ac:dyDescent="0.2">
      <c r="A1" s="4" t="s">
        <v>357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" customHeight="1" x14ac:dyDescent="0.2">
      <c r="A2" s="14" t="s">
        <v>258</v>
      </c>
      <c r="B2" s="47" t="s">
        <v>183</v>
      </c>
      <c r="C2" s="15" t="s">
        <v>184</v>
      </c>
      <c r="D2" s="47" t="s">
        <v>185</v>
      </c>
      <c r="E2" s="15" t="s">
        <v>186</v>
      </c>
      <c r="F2" s="47" t="s">
        <v>187</v>
      </c>
      <c r="G2" s="15" t="s">
        <v>188</v>
      </c>
      <c r="H2" s="47" t="s">
        <v>189</v>
      </c>
      <c r="I2" s="15" t="s">
        <v>190</v>
      </c>
      <c r="J2" s="47" t="s">
        <v>191</v>
      </c>
      <c r="K2" s="15" t="s">
        <v>192</v>
      </c>
      <c r="L2" s="47" t="s">
        <v>193</v>
      </c>
      <c r="M2" s="15" t="s">
        <v>194</v>
      </c>
      <c r="N2" s="47" t="s">
        <v>195</v>
      </c>
      <c r="O2" s="15" t="s">
        <v>196</v>
      </c>
      <c r="P2" s="47" t="s">
        <v>197</v>
      </c>
      <c r="Q2" s="15" t="s">
        <v>198</v>
      </c>
      <c r="R2" s="47" t="s">
        <v>199</v>
      </c>
      <c r="S2" s="15" t="s">
        <v>200</v>
      </c>
      <c r="T2" s="47" t="s">
        <v>201</v>
      </c>
      <c r="U2" s="15" t="s">
        <v>202</v>
      </c>
    </row>
    <row r="3" spans="1:21" ht="15" customHeight="1" x14ac:dyDescent="0.2">
      <c r="A3" s="14" t="s">
        <v>206</v>
      </c>
      <c r="B3" s="50">
        <f>'DCF Model'!C6</f>
        <v>149376.24</v>
      </c>
      <c r="C3" s="50">
        <f>'DCF Model'!D6</f>
        <v>179251.48799999998</v>
      </c>
      <c r="D3" s="50">
        <f>'DCF Model'!E6</f>
        <v>218686.81535999998</v>
      </c>
      <c r="E3" s="50">
        <f>'DCF Model'!F6</f>
        <v>273358.51919999998</v>
      </c>
      <c r="F3" s="50">
        <f>'DCF Model'!G6</f>
        <v>333497.39342399995</v>
      </c>
      <c r="G3" s="50">
        <f>'DCF Model'!H6</f>
        <v>393526.92424031993</v>
      </c>
      <c r="H3" s="50">
        <f>'DCF Model'!I6</f>
        <v>464361.77060357749</v>
      </c>
      <c r="I3" s="50">
        <f>'DCF Model'!J6</f>
        <v>547946.88931222144</v>
      </c>
      <c r="J3" s="50">
        <f>'DCF Model'!K6</f>
        <v>646577.32938842126</v>
      </c>
      <c r="K3" s="50">
        <f>'DCF Model'!L6</f>
        <v>762961.24867833708</v>
      </c>
      <c r="L3" s="50">
        <f>'DCF Model'!M6</f>
        <v>854516.5985197376</v>
      </c>
      <c r="M3" s="50">
        <f>'DCF Model'!N6</f>
        <v>957058.59034210618</v>
      </c>
      <c r="N3" s="50">
        <f>'DCF Model'!O6</f>
        <v>1071905.6211831591</v>
      </c>
      <c r="O3" s="50">
        <f>'DCF Model'!P6</f>
        <v>1200534.2957251382</v>
      </c>
      <c r="P3" s="50">
        <f>'DCF Model'!Q6</f>
        <v>1344598.4112121549</v>
      </c>
      <c r="Q3" s="50">
        <f>'DCF Model'!R6</f>
        <v>1452166.2841091275</v>
      </c>
      <c r="R3" s="50">
        <f>'DCF Model'!S6</f>
        <v>1568339.5868378577</v>
      </c>
      <c r="S3" s="50">
        <f>'DCF Model'!T6</f>
        <v>1693806.7537848866</v>
      </c>
      <c r="T3" s="50">
        <f>'DCF Model'!U6</f>
        <v>1829311.2940876775</v>
      </c>
      <c r="U3" s="50">
        <f>'DCF Model'!V6</f>
        <v>1975656.1976146919</v>
      </c>
    </row>
    <row r="4" spans="1:21" ht="15" customHeight="1" x14ac:dyDescent="0.2">
      <c r="A4" s="16" t="s">
        <v>358</v>
      </c>
      <c r="B4" s="18">
        <f>'DCF Model'!C6-'DCF Model'!B6</f>
        <v>21704.239999999991</v>
      </c>
      <c r="C4" s="18">
        <f>'DCF Model'!D6-'DCF Model'!C6</f>
        <v>29875.247999999992</v>
      </c>
      <c r="D4" s="18">
        <f>'DCF Model'!E6-'DCF Model'!D6</f>
        <v>39435.327359999996</v>
      </c>
      <c r="E4" s="18">
        <f>'DCF Model'!F6-'DCF Model'!E6</f>
        <v>54671.703840000002</v>
      </c>
      <c r="F4" s="18">
        <f>'DCF Model'!G6-'DCF Model'!F6</f>
        <v>60138.87422399997</v>
      </c>
      <c r="G4" s="18">
        <f>'DCF Model'!H6-'DCF Model'!G6</f>
        <v>60029.530816319981</v>
      </c>
      <c r="H4" s="18">
        <f>'DCF Model'!I6-'DCF Model'!H6</f>
        <v>70834.846363257559</v>
      </c>
      <c r="I4" s="18">
        <f>'DCF Model'!J6-'DCF Model'!I6</f>
        <v>83585.118708643946</v>
      </c>
      <c r="J4" s="18">
        <f>'DCF Model'!K6-'DCF Model'!J6</f>
        <v>98630.440076199826</v>
      </c>
      <c r="K4" s="18">
        <f>'DCF Model'!L6-'DCF Model'!K6</f>
        <v>116383.91928991582</v>
      </c>
      <c r="L4" s="18">
        <f>'DCF Model'!M6-'DCF Model'!L6</f>
        <v>91555.349841400515</v>
      </c>
      <c r="M4" s="18">
        <f>'DCF Model'!N6-'DCF Model'!M6</f>
        <v>102541.99182236858</v>
      </c>
      <c r="N4" s="18">
        <f>'DCF Model'!O6-'DCF Model'!N6</f>
        <v>114847.03084105288</v>
      </c>
      <c r="O4" s="18">
        <f>'DCF Model'!P6-'DCF Model'!O6</f>
        <v>128628.6745419791</v>
      </c>
      <c r="P4" s="18">
        <f>'DCF Model'!Q6-'DCF Model'!P6</f>
        <v>144064.11548701674</v>
      </c>
      <c r="Q4" s="18">
        <f>'DCF Model'!R6-'DCF Model'!Q6</f>
        <v>107567.87289697258</v>
      </c>
      <c r="R4" s="18">
        <f>'DCF Model'!S6-'DCF Model'!R6</f>
        <v>116173.30272873025</v>
      </c>
      <c r="S4" s="18">
        <f>'DCF Model'!T6-'DCF Model'!S6</f>
        <v>125467.16694702883</v>
      </c>
      <c r="T4" s="18">
        <f>'DCF Model'!U6-'DCF Model'!T6</f>
        <v>135504.54030279093</v>
      </c>
      <c r="U4" s="18">
        <f>'DCF Model'!V6-'DCF Model'!U6</f>
        <v>146344.90352701442</v>
      </c>
    </row>
    <row r="5" spans="1:21" ht="15" customHeight="1" x14ac:dyDescent="0.2">
      <c r="A5" s="16" t="s">
        <v>359</v>
      </c>
      <c r="B5" s="49">
        <f>'DCF Model'!C5</f>
        <v>0.17</v>
      </c>
      <c r="C5" s="49">
        <f>'DCF Model'!D5</f>
        <v>0.2</v>
      </c>
      <c r="D5" s="49">
        <f>'DCF Model'!E5</f>
        <v>0.22</v>
      </c>
      <c r="E5" s="49">
        <f>'DCF Model'!F5</f>
        <v>0.25</v>
      </c>
      <c r="F5" s="49">
        <f>'DCF Model'!G5</f>
        <v>0.22</v>
      </c>
      <c r="G5" s="49">
        <f>'DCF Model'!H5</f>
        <v>0.18</v>
      </c>
      <c r="H5" s="49">
        <f>'DCF Model'!I5</f>
        <v>0.18</v>
      </c>
      <c r="I5" s="49">
        <f>'DCF Model'!J5</f>
        <v>0.18</v>
      </c>
      <c r="J5" s="49">
        <f>'DCF Model'!K5</f>
        <v>0.18</v>
      </c>
      <c r="K5" s="49">
        <f>'DCF Model'!L5</f>
        <v>0.18</v>
      </c>
      <c r="L5" s="49">
        <f>'DCF Model'!M5</f>
        <v>0.12</v>
      </c>
      <c r="M5" s="49">
        <f>'DCF Model'!N5</f>
        <v>0.12</v>
      </c>
      <c r="N5" s="49">
        <f>'DCF Model'!O5</f>
        <v>0.12</v>
      </c>
      <c r="O5" s="49">
        <f>'DCF Model'!P5</f>
        <v>0.12</v>
      </c>
      <c r="P5" s="49">
        <f>'DCF Model'!Q5</f>
        <v>0.12</v>
      </c>
      <c r="Q5" s="49">
        <f>'DCF Model'!R5</f>
        <v>0.08</v>
      </c>
      <c r="R5" s="49">
        <f>'DCF Model'!S5</f>
        <v>0.08</v>
      </c>
      <c r="S5" s="49">
        <f>'DCF Model'!T5</f>
        <v>0.08</v>
      </c>
      <c r="T5" s="49">
        <f>'DCF Model'!U5</f>
        <v>0.08</v>
      </c>
      <c r="U5" s="49">
        <f>'DCF Model'!V5</f>
        <v>0.08</v>
      </c>
    </row>
    <row r="6" spans="1:21" ht="15" customHeight="1" x14ac:dyDescent="0.2">
      <c r="A6" s="16" t="s">
        <v>360</v>
      </c>
      <c r="B6" s="50">
        <f>'DCF Model'!C9</f>
        <v>35850.297599999998</v>
      </c>
      <c r="C6" s="50">
        <f>'DCF Model'!D9</f>
        <v>48397.901760000001</v>
      </c>
      <c r="D6" s="50">
        <f>'DCF Model'!E9</f>
        <v>65606.044607999997</v>
      </c>
      <c r="E6" s="50">
        <f>'DCF Model'!F9</f>
        <v>90208.311335999999</v>
      </c>
      <c r="F6" s="50">
        <f>'DCF Model'!G9</f>
        <v>116724.08769839998</v>
      </c>
      <c r="G6" s="50">
        <f>'DCF Model'!H9</f>
        <v>149540.23121132157</v>
      </c>
      <c r="H6" s="50">
        <f>'DCF Model'!I9</f>
        <v>176457.47282935944</v>
      </c>
      <c r="I6" s="50">
        <f>'DCF Model'!J9</f>
        <v>208219.81793864415</v>
      </c>
      <c r="J6" s="50">
        <f>'DCF Model'!K9</f>
        <v>245699.38516760009</v>
      </c>
      <c r="K6" s="50">
        <f>'DCF Model'!L9</f>
        <v>289925.27449776808</v>
      </c>
      <c r="L6" s="50">
        <f>'DCF Model'!M9</f>
        <v>358896.9713782898</v>
      </c>
      <c r="M6" s="50">
        <f>'DCF Model'!N9</f>
        <v>401964.60794368456</v>
      </c>
      <c r="N6" s="50">
        <f>'DCF Model'!O9</f>
        <v>450200.36089692678</v>
      </c>
      <c r="O6" s="50">
        <f>'DCF Model'!P9</f>
        <v>504224.404204558</v>
      </c>
      <c r="P6" s="50">
        <f>'DCF Model'!Q9</f>
        <v>564731.33270910499</v>
      </c>
      <c r="Q6" s="50">
        <f>'DCF Model'!R9</f>
        <v>609909.83932583348</v>
      </c>
      <c r="R6" s="50">
        <f>'DCF Model'!S9</f>
        <v>658702.62647190026</v>
      </c>
      <c r="S6" s="50">
        <f>'DCF Model'!T9</f>
        <v>711398.83658965235</v>
      </c>
      <c r="T6" s="50">
        <f>'DCF Model'!U9</f>
        <v>768310.74351682456</v>
      </c>
      <c r="U6" s="50">
        <f>'DCF Model'!V9</f>
        <v>829775.60299817054</v>
      </c>
    </row>
    <row r="7" spans="1:21" ht="15" customHeight="1" x14ac:dyDescent="0.2">
      <c r="A7" s="16" t="s">
        <v>13</v>
      </c>
      <c r="B7" s="49">
        <f>'DCF Model'!C8</f>
        <v>0.24</v>
      </c>
      <c r="C7" s="49">
        <f>'DCF Model'!D8</f>
        <v>0.27</v>
      </c>
      <c r="D7" s="49">
        <f>'DCF Model'!E8</f>
        <v>0.3</v>
      </c>
      <c r="E7" s="49">
        <f>'DCF Model'!F8</f>
        <v>0.33</v>
      </c>
      <c r="F7" s="49">
        <f>'DCF Model'!G8</f>
        <v>0.35</v>
      </c>
      <c r="G7" s="49">
        <f>'DCF Model'!H8</f>
        <v>0.38</v>
      </c>
      <c r="H7" s="49">
        <f>'DCF Model'!I8</f>
        <v>0.38</v>
      </c>
      <c r="I7" s="49">
        <f>'DCF Model'!J8</f>
        <v>0.38</v>
      </c>
      <c r="J7" s="49">
        <f>'DCF Model'!K8</f>
        <v>0.38</v>
      </c>
      <c r="K7" s="49">
        <f>'DCF Model'!L8</f>
        <v>0.38</v>
      </c>
      <c r="L7" s="49">
        <f>'DCF Model'!M8</f>
        <v>0.42</v>
      </c>
      <c r="M7" s="49">
        <f>'DCF Model'!N8</f>
        <v>0.42</v>
      </c>
      <c r="N7" s="49">
        <f>'DCF Model'!O8</f>
        <v>0.42</v>
      </c>
      <c r="O7" s="49">
        <f>'DCF Model'!P8</f>
        <v>0.42</v>
      </c>
      <c r="P7" s="49">
        <f>'DCF Model'!Q8</f>
        <v>0.42</v>
      </c>
      <c r="Q7" s="49">
        <f>'DCF Model'!R8</f>
        <v>0.42</v>
      </c>
      <c r="R7" s="49">
        <f>'DCF Model'!S8</f>
        <v>0.42</v>
      </c>
      <c r="S7" s="49">
        <f>'DCF Model'!T8</f>
        <v>0.42</v>
      </c>
      <c r="T7" s="49">
        <f>'DCF Model'!U8</f>
        <v>0.42</v>
      </c>
      <c r="U7" s="49">
        <f>'DCF Model'!V8</f>
        <v>0.42</v>
      </c>
    </row>
    <row r="8" spans="1:21" ht="15" customHeight="1" x14ac:dyDescent="0.2">
      <c r="A8" s="16" t="s">
        <v>361</v>
      </c>
      <c r="B8" s="50">
        <f>'DCF Model'!C11</f>
        <v>97094.555999999997</v>
      </c>
      <c r="C8" s="50">
        <f>'DCF Model'!D11</f>
        <v>98588.318400000004</v>
      </c>
      <c r="D8" s="50">
        <f>'DCF Model'!E11</f>
        <v>104969.67137279999</v>
      </c>
      <c r="E8" s="50">
        <f>'DCF Model'!F11</f>
        <v>114810.57806399999</v>
      </c>
      <c r="F8" s="50">
        <f>'DCF Model'!G11</f>
        <v>126729.00950111999</v>
      </c>
      <c r="G8" s="50">
        <f>'DCF Model'!H11</f>
        <v>118058.07727209598</v>
      </c>
      <c r="H8" s="50">
        <f>'DCF Model'!I11</f>
        <v>139308.53118107325</v>
      </c>
      <c r="I8" s="50">
        <f>'DCF Model'!J11</f>
        <v>164384.06679366642</v>
      </c>
      <c r="J8" s="50">
        <f>'DCF Model'!K11</f>
        <v>193973.19881652636</v>
      </c>
      <c r="K8" s="50">
        <f>'DCF Model'!L11</f>
        <v>228888.37460350111</v>
      </c>
      <c r="L8" s="50">
        <f>'DCF Model'!M11</f>
        <v>213629.1496299344</v>
      </c>
      <c r="M8" s="50">
        <f>'DCF Model'!N11</f>
        <v>239264.64758552655</v>
      </c>
      <c r="N8" s="50">
        <f>'DCF Model'!O11</f>
        <v>267976.40529578977</v>
      </c>
      <c r="O8" s="50">
        <f>'DCF Model'!P11</f>
        <v>300133.57393128454</v>
      </c>
      <c r="P8" s="50">
        <f>'DCF Model'!Q11</f>
        <v>336149.60280303872</v>
      </c>
      <c r="Q8" s="50">
        <f>'DCF Model'!R11</f>
        <v>363041.57102728187</v>
      </c>
      <c r="R8" s="50">
        <f>'DCF Model'!S11</f>
        <v>392084.89670946443</v>
      </c>
      <c r="S8" s="50">
        <f>'DCF Model'!T11</f>
        <v>423451.68844622164</v>
      </c>
      <c r="T8" s="50">
        <f>'DCF Model'!U11</f>
        <v>457327.82352191937</v>
      </c>
      <c r="U8" s="50">
        <f>'DCF Model'!V11</f>
        <v>493914.04940367298</v>
      </c>
    </row>
    <row r="9" spans="1:21" ht="15" customHeight="1" x14ac:dyDescent="0.2">
      <c r="A9" s="16" t="s">
        <v>362</v>
      </c>
      <c r="B9" s="50">
        <f>'DCF Model'!C13</f>
        <v>14937.624</v>
      </c>
      <c r="C9" s="50">
        <f>'DCF Model'!D13</f>
        <v>17925.148799999999</v>
      </c>
      <c r="D9" s="50">
        <f>'DCF Model'!E13</f>
        <v>21868.681536</v>
      </c>
      <c r="E9" s="50">
        <f>'DCF Model'!F13</f>
        <v>27335.851920000001</v>
      </c>
      <c r="F9" s="50">
        <f>'DCF Model'!G13</f>
        <v>33349.739342399997</v>
      </c>
      <c r="G9" s="50">
        <f>'DCF Model'!H13</f>
        <v>39352.692424031993</v>
      </c>
      <c r="H9" s="50">
        <f>'DCF Model'!I13</f>
        <v>46436.177060357753</v>
      </c>
      <c r="I9" s="50">
        <f>'DCF Model'!J13</f>
        <v>54794.688931222146</v>
      </c>
      <c r="J9" s="50">
        <f>'DCF Model'!K13</f>
        <v>64657.732938842128</v>
      </c>
      <c r="K9" s="50">
        <f>'DCF Model'!L13</f>
        <v>76296.124867833714</v>
      </c>
      <c r="L9" s="50">
        <f>'DCF Model'!M13</f>
        <v>85451.65985197376</v>
      </c>
      <c r="M9" s="50">
        <f>'DCF Model'!N13</f>
        <v>95705.859034210618</v>
      </c>
      <c r="N9" s="50">
        <f>'DCF Model'!O13</f>
        <v>107190.56211831591</v>
      </c>
      <c r="O9" s="50">
        <f>'DCF Model'!P13</f>
        <v>120053.42957251382</v>
      </c>
      <c r="P9" s="50">
        <f>'DCF Model'!Q13</f>
        <v>134459.84112121549</v>
      </c>
      <c r="Q9" s="50">
        <f>'DCF Model'!R13</f>
        <v>145216.62841091276</v>
      </c>
      <c r="R9" s="50">
        <f>'DCF Model'!S13</f>
        <v>156833.95868378578</v>
      </c>
      <c r="S9" s="50">
        <f>'DCF Model'!T13</f>
        <v>169380.67537848867</v>
      </c>
      <c r="T9" s="50">
        <f>'DCF Model'!U13</f>
        <v>182931.12940876777</v>
      </c>
      <c r="U9" s="50">
        <f>'DCF Model'!V13</f>
        <v>197565.61976146919</v>
      </c>
    </row>
    <row r="10" spans="1:21" ht="15" customHeight="1" x14ac:dyDescent="0.2">
      <c r="A10" s="14" t="s">
        <v>214</v>
      </c>
      <c r="B10" s="50">
        <f>'DCF Model'!C14</f>
        <v>-76181.882400000002</v>
      </c>
      <c r="C10" s="50">
        <f>'DCF Model'!D14</f>
        <v>-68115.565440000006</v>
      </c>
      <c r="D10" s="50">
        <f>'DCF Model'!E14</f>
        <v>-61232.308300799996</v>
      </c>
      <c r="E10" s="50">
        <f>'DCF Model'!F14</f>
        <v>-51938.118647999989</v>
      </c>
      <c r="F10" s="50">
        <f>'DCF Model'!G14</f>
        <v>-43354.661145120008</v>
      </c>
      <c r="G10" s="50">
        <f>'DCF Model'!H14</f>
        <v>-7870.5384848063986</v>
      </c>
      <c r="H10" s="50">
        <f>'DCF Model'!I14</f>
        <v>-9287.2354120715681</v>
      </c>
      <c r="I10" s="50">
        <f>'DCF Model'!J14</f>
        <v>-10958.937786244423</v>
      </c>
      <c r="J10" s="50">
        <f>'DCF Model'!K14</f>
        <v>-12931.546587768396</v>
      </c>
      <c r="K10" s="50">
        <f>'DCF Model'!L14</f>
        <v>-15259.224973566743</v>
      </c>
      <c r="L10" s="50">
        <f>'DCF Model'!M14</f>
        <v>59816.161896381644</v>
      </c>
      <c r="M10" s="50">
        <f>'DCF Model'!N14</f>
        <v>66994.101323947398</v>
      </c>
      <c r="N10" s="50">
        <f>'DCF Model'!O14</f>
        <v>75033.393482821106</v>
      </c>
      <c r="O10" s="50">
        <f>'DCF Model'!P14</f>
        <v>84037.400700759637</v>
      </c>
      <c r="P10" s="50">
        <f>'DCF Model'!Q14</f>
        <v>94121.888784850773</v>
      </c>
      <c r="Q10" s="50">
        <f>'DCF Model'!R14</f>
        <v>101651.63988763886</v>
      </c>
      <c r="R10" s="50">
        <f>'DCF Model'!S14</f>
        <v>109783.77107865005</v>
      </c>
      <c r="S10" s="50">
        <f>'DCF Model'!T14</f>
        <v>118566.47276494204</v>
      </c>
      <c r="T10" s="50">
        <f>'DCF Model'!U14</f>
        <v>128051.79058613742</v>
      </c>
      <c r="U10" s="50">
        <f>'DCF Model'!V14</f>
        <v>138295.93383302836</v>
      </c>
    </row>
    <row r="11" spans="1:21" ht="15" customHeight="1" x14ac:dyDescent="0.2">
      <c r="A11" s="16" t="s">
        <v>363</v>
      </c>
      <c r="B11" s="49">
        <f>'DCF Model'!C15</f>
        <v>-0.51</v>
      </c>
      <c r="C11" s="49">
        <f>'DCF Model'!D15</f>
        <v>-0.38000000000000006</v>
      </c>
      <c r="D11" s="49">
        <f>'DCF Model'!E15</f>
        <v>-0.28000000000000003</v>
      </c>
      <c r="E11" s="49">
        <f>'DCF Model'!F15</f>
        <v>-0.18999999999999997</v>
      </c>
      <c r="F11" s="49">
        <f>'DCF Model'!G15</f>
        <v>-0.13000000000000003</v>
      </c>
      <c r="G11" s="49">
        <f>'DCF Model'!H15</f>
        <v>-0.02</v>
      </c>
      <c r="H11" s="49">
        <f>'DCF Model'!I15</f>
        <v>-2.0000000000000039E-2</v>
      </c>
      <c r="I11" s="49">
        <f>'DCF Model'!J15</f>
        <v>-1.999999999999999E-2</v>
      </c>
      <c r="J11" s="49">
        <f>'DCF Model'!K15</f>
        <v>-1.9999999999999955E-2</v>
      </c>
      <c r="K11" s="49">
        <f>'DCF Model'!L15</f>
        <v>-0.02</v>
      </c>
      <c r="L11" s="49">
        <f>'DCF Model'!M15</f>
        <v>7.0000000000000021E-2</v>
      </c>
      <c r="M11" s="49">
        <f>'DCF Model'!N15</f>
        <v>6.9999999999999965E-2</v>
      </c>
      <c r="N11" s="49">
        <f>'DCF Model'!O15</f>
        <v>6.9999999999999979E-2</v>
      </c>
      <c r="O11" s="49">
        <f>'DCF Model'!P15</f>
        <v>6.9999999999999965E-2</v>
      </c>
      <c r="P11" s="49">
        <f>'DCF Model'!Q15</f>
        <v>6.9999999999999951E-2</v>
      </c>
      <c r="Q11" s="49">
        <f>'DCF Model'!R15</f>
        <v>6.9999999999999951E-2</v>
      </c>
      <c r="R11" s="49">
        <f>'DCF Model'!S15</f>
        <v>7.0000000000000007E-2</v>
      </c>
      <c r="S11" s="49">
        <f>'DCF Model'!T15</f>
        <v>6.9999999999999993E-2</v>
      </c>
      <c r="T11" s="49">
        <f>'DCF Model'!U15</f>
        <v>6.9999999999999993E-2</v>
      </c>
      <c r="U11" s="49">
        <f>'DCF Model'!V15</f>
        <v>6.9999999999999965E-2</v>
      </c>
    </row>
    <row r="12" spans="1:21" ht="15" customHeight="1" x14ac:dyDescent="0.2">
      <c r="A12" s="16" t="s">
        <v>364</v>
      </c>
      <c r="B12" s="50">
        <f>'DCF Model'!C17</f>
        <v>-76181.882400000002</v>
      </c>
      <c r="C12" s="50">
        <f>'DCF Model'!D17</f>
        <v>-68115.565440000006</v>
      </c>
      <c r="D12" s="50">
        <f>'DCF Model'!E17</f>
        <v>-61232.308300799996</v>
      </c>
      <c r="E12" s="50">
        <f>'DCF Model'!F17</f>
        <v>-51938.118647999989</v>
      </c>
      <c r="F12" s="50">
        <f>'DCF Model'!G17</f>
        <v>-43354.661145120008</v>
      </c>
      <c r="G12" s="50">
        <f>'DCF Model'!H17</f>
        <v>-7870.5384848063986</v>
      </c>
      <c r="H12" s="50">
        <f>'DCF Model'!I17</f>
        <v>-9287.2354120715681</v>
      </c>
      <c r="I12" s="50">
        <f>'DCF Model'!J17</f>
        <v>-10958.937786244423</v>
      </c>
      <c r="J12" s="50">
        <f>'DCF Model'!K17</f>
        <v>-12931.546587768396</v>
      </c>
      <c r="K12" s="50">
        <f>'DCF Model'!L17</f>
        <v>-15259.224973566743</v>
      </c>
      <c r="L12" s="50">
        <f>'DCF Model'!M17</f>
        <v>59816.161896381644</v>
      </c>
      <c r="M12" s="50">
        <f>'DCF Model'!N17</f>
        <v>66994.101323947398</v>
      </c>
      <c r="N12" s="50">
        <f>'DCF Model'!O17</f>
        <v>75033.393482821106</v>
      </c>
      <c r="O12" s="50">
        <f>'DCF Model'!P17</f>
        <v>84037.400700759637</v>
      </c>
      <c r="P12" s="50">
        <f>'DCF Model'!Q17</f>
        <v>94121.888784850773</v>
      </c>
      <c r="Q12" s="50">
        <f>'DCF Model'!R17</f>
        <v>101651.63988763886</v>
      </c>
      <c r="R12" s="50">
        <f>'DCF Model'!S17</f>
        <v>109783.77107865005</v>
      </c>
      <c r="S12" s="50">
        <f>'DCF Model'!T17</f>
        <v>118566.47276494204</v>
      </c>
      <c r="T12" s="50">
        <f>'DCF Model'!U17</f>
        <v>128051.79058613742</v>
      </c>
      <c r="U12" s="50">
        <f>'DCF Model'!V17</f>
        <v>138295.93383302836</v>
      </c>
    </row>
    <row r="13" spans="1:21" ht="15" customHeight="1" x14ac:dyDescent="0.2">
      <c r="A13" s="16" t="s">
        <v>365</v>
      </c>
      <c r="B13" s="50">
        <f>'DCF Model'!C20</f>
        <v>14937.624</v>
      </c>
      <c r="C13" s="50">
        <f>'DCF Model'!D20</f>
        <v>17925.148799999999</v>
      </c>
      <c r="D13" s="50">
        <f>'DCF Model'!E20</f>
        <v>21868.681536</v>
      </c>
      <c r="E13" s="50">
        <f>'DCF Model'!F20</f>
        <v>27335.851920000001</v>
      </c>
      <c r="F13" s="50">
        <f>'DCF Model'!G20</f>
        <v>33349.739342399997</v>
      </c>
      <c r="G13" s="50">
        <f>'DCF Model'!H20</f>
        <v>39352.692424031993</v>
      </c>
      <c r="H13" s="50">
        <f>'DCF Model'!I20</f>
        <v>46436.177060357753</v>
      </c>
      <c r="I13" s="50">
        <f>'DCF Model'!J20</f>
        <v>54794.688931222146</v>
      </c>
      <c r="J13" s="50">
        <f>'DCF Model'!K20</f>
        <v>64657.732938842128</v>
      </c>
      <c r="K13" s="50">
        <f>'DCF Model'!L20</f>
        <v>76296.124867833714</v>
      </c>
      <c r="L13" s="50">
        <f>'DCF Model'!M20</f>
        <v>85451.65985197376</v>
      </c>
      <c r="M13" s="50">
        <f>'DCF Model'!N20</f>
        <v>95705.859034210618</v>
      </c>
      <c r="N13" s="50">
        <f>'DCF Model'!O20</f>
        <v>107190.56211831591</v>
      </c>
      <c r="O13" s="50">
        <f>'DCF Model'!P20</f>
        <v>120053.42957251382</v>
      </c>
      <c r="P13" s="50">
        <f>'DCF Model'!Q20</f>
        <v>134459.84112121549</v>
      </c>
      <c r="Q13" s="50">
        <f>'DCF Model'!R20</f>
        <v>145216.62841091276</v>
      </c>
      <c r="R13" s="50">
        <f>'DCF Model'!S20</f>
        <v>156833.95868378578</v>
      </c>
      <c r="S13" s="50">
        <f>'DCF Model'!T20</f>
        <v>169380.67537848867</v>
      </c>
      <c r="T13" s="50">
        <f>'DCF Model'!U20</f>
        <v>182931.12940876777</v>
      </c>
      <c r="U13" s="50">
        <f>'DCF Model'!V20</f>
        <v>197565.61976146919</v>
      </c>
    </row>
    <row r="14" spans="1:21" ht="15" customHeight="1" x14ac:dyDescent="0.2">
      <c r="A14" s="16" t="s">
        <v>366</v>
      </c>
      <c r="B14" s="50">
        <f>'DCF Model'!C22</f>
        <v>4481.2871999999998</v>
      </c>
      <c r="C14" s="50">
        <f>'DCF Model'!D22</f>
        <v>5377.5446399999992</v>
      </c>
      <c r="D14" s="50">
        <f>'DCF Model'!E22</f>
        <v>6560.6044607999993</v>
      </c>
      <c r="E14" s="50">
        <f>'DCF Model'!F22</f>
        <v>8200.7555759999996</v>
      </c>
      <c r="F14" s="50">
        <f>'DCF Model'!G22</f>
        <v>10004.921802719999</v>
      </c>
      <c r="G14" s="50">
        <f>'DCF Model'!H22</f>
        <v>11805.807727209598</v>
      </c>
      <c r="H14" s="50">
        <f>'DCF Model'!I22</f>
        <v>13930.853118107325</v>
      </c>
      <c r="I14" s="50">
        <f>'DCF Model'!J22</f>
        <v>16438.406679366642</v>
      </c>
      <c r="J14" s="50">
        <f>'DCF Model'!K22</f>
        <v>19397.319881652638</v>
      </c>
      <c r="K14" s="50">
        <f>'DCF Model'!L22</f>
        <v>22888.837460350111</v>
      </c>
      <c r="L14" s="50">
        <f>'DCF Model'!M22</f>
        <v>25635.497955592127</v>
      </c>
      <c r="M14" s="50">
        <f>'DCF Model'!N22</f>
        <v>28711.757710263184</v>
      </c>
      <c r="N14" s="50">
        <f>'DCF Model'!O22</f>
        <v>32157.168635494771</v>
      </c>
      <c r="O14" s="50">
        <f>'DCF Model'!P22</f>
        <v>36016.028871754141</v>
      </c>
      <c r="P14" s="50">
        <f>'DCF Model'!Q22</f>
        <v>40337.952336364644</v>
      </c>
      <c r="Q14" s="50">
        <f>'DCF Model'!R22</f>
        <v>43564.988523273823</v>
      </c>
      <c r="R14" s="50">
        <f>'DCF Model'!S22</f>
        <v>47050.187605135732</v>
      </c>
      <c r="S14" s="50">
        <f>'DCF Model'!T22</f>
        <v>50814.202613546593</v>
      </c>
      <c r="T14" s="50">
        <f>'DCF Model'!U22</f>
        <v>54879.338822630321</v>
      </c>
      <c r="U14" s="50">
        <f>'DCF Model'!V22</f>
        <v>59269.685928440755</v>
      </c>
    </row>
    <row r="15" spans="1:21" ht="15" customHeight="1" x14ac:dyDescent="0.2">
      <c r="A15" s="16" t="s">
        <v>367</v>
      </c>
      <c r="B15" s="50">
        <f>'DCF Model'!C24</f>
        <v>1085.2119999999995</v>
      </c>
      <c r="C15" s="50">
        <f>'DCF Model'!D24</f>
        <v>1493.7623999999996</v>
      </c>
      <c r="D15" s="50">
        <f>'DCF Model'!E24</f>
        <v>1971.7663679999998</v>
      </c>
      <c r="E15" s="50">
        <f>'DCF Model'!F24</f>
        <v>2733.5851920000005</v>
      </c>
      <c r="F15" s="50">
        <f>'DCF Model'!G24</f>
        <v>3006.9437111999987</v>
      </c>
      <c r="G15" s="50">
        <f>'DCF Model'!H24</f>
        <v>3001.4765408159992</v>
      </c>
      <c r="H15" s="50">
        <f>'DCF Model'!I24</f>
        <v>3541.7423181628783</v>
      </c>
      <c r="I15" s="50">
        <f>'DCF Model'!J24</f>
        <v>4179.2559354321975</v>
      </c>
      <c r="J15" s="50">
        <f>'DCF Model'!K24</f>
        <v>4931.5220038099915</v>
      </c>
      <c r="K15" s="50">
        <f>'DCF Model'!L24</f>
        <v>5819.1959644957915</v>
      </c>
      <c r="L15" s="50">
        <f>'DCF Model'!M24</f>
        <v>4577.7674920700256</v>
      </c>
      <c r="M15" s="50">
        <f>'DCF Model'!N24</f>
        <v>5127.0995911184291</v>
      </c>
      <c r="N15" s="50">
        <f>'DCF Model'!O24</f>
        <v>5742.3515420526446</v>
      </c>
      <c r="O15" s="50">
        <f>'DCF Model'!P24</f>
        <v>6431.4337270989554</v>
      </c>
      <c r="P15" s="50">
        <f>'DCF Model'!Q24</f>
        <v>7203.2057743508376</v>
      </c>
      <c r="Q15" s="50">
        <f>'DCF Model'!R24</f>
        <v>5378.3936448486293</v>
      </c>
      <c r="R15" s="50">
        <f>'DCF Model'!S24</f>
        <v>5808.6651364365134</v>
      </c>
      <c r="S15" s="50">
        <f>'DCF Model'!T24</f>
        <v>6273.3583473514418</v>
      </c>
      <c r="T15" s="50">
        <f>'DCF Model'!U24</f>
        <v>6775.2270151395469</v>
      </c>
      <c r="U15" s="50">
        <f>'DCF Model'!V24</f>
        <v>7317.2451763507215</v>
      </c>
    </row>
    <row r="16" spans="1:21" ht="15" customHeight="1" x14ac:dyDescent="0.2">
      <c r="A16" s="14" t="s">
        <v>368</v>
      </c>
      <c r="B16" s="50">
        <f>'DCF Model'!C25</f>
        <v>-66810.757600000012</v>
      </c>
      <c r="C16" s="50">
        <f>'DCF Model'!D25</f>
        <v>-57061.72368000001</v>
      </c>
      <c r="D16" s="50">
        <f>'DCF Model'!E25</f>
        <v>-47895.99759359999</v>
      </c>
      <c r="E16" s="50">
        <f>'DCF Model'!F25</f>
        <v>-35536.607495999982</v>
      </c>
      <c r="F16" s="50">
        <f>'DCF Model'!G25</f>
        <v>-23016.787316640006</v>
      </c>
      <c r="G16" s="50">
        <f>'DCF Model'!H25</f>
        <v>16674.869671199998</v>
      </c>
      <c r="H16" s="50">
        <f>'DCF Model'!I25</f>
        <v>19676.346212015982</v>
      </c>
      <c r="I16" s="50">
        <f>'DCF Model'!J25</f>
        <v>23218.088530178884</v>
      </c>
      <c r="J16" s="50">
        <f>'DCF Model'!K25</f>
        <v>27397.344465611102</v>
      </c>
      <c r="K16" s="50">
        <f>'DCF Model'!L25</f>
        <v>32328.866469421067</v>
      </c>
      <c r="L16" s="50">
        <f>'DCF Model'!M25</f>
        <v>115054.55630069325</v>
      </c>
      <c r="M16" s="50">
        <f>'DCF Model'!N25</f>
        <v>128861.1030567764</v>
      </c>
      <c r="N16" s="50">
        <f>'DCF Model'!O25</f>
        <v>144324.4354235896</v>
      </c>
      <c r="O16" s="50">
        <f>'DCF Model'!P25</f>
        <v>161643.36767442038</v>
      </c>
      <c r="P16" s="50">
        <f>'DCF Model'!Q25</f>
        <v>181040.57179535076</v>
      </c>
      <c r="Q16" s="50">
        <f>'DCF Model'!R25</f>
        <v>197924.88613042916</v>
      </c>
      <c r="R16" s="50">
        <f>'DCF Model'!S25</f>
        <v>213758.87702086358</v>
      </c>
      <c r="S16" s="50">
        <f>'DCF Model'!T25</f>
        <v>230859.58718253268</v>
      </c>
      <c r="T16" s="50">
        <f>'DCF Model'!U25</f>
        <v>249328.35415713533</v>
      </c>
      <c r="U16" s="50">
        <f>'DCF Model'!V25</f>
        <v>269274.62248970609</v>
      </c>
    </row>
    <row r="17" spans="1:21" ht="15" customHeight="1" x14ac:dyDescent="0.2">
      <c r="A17" s="16" t="s">
        <v>369</v>
      </c>
      <c r="B17" s="49">
        <f>'DCF Model'!C26</f>
        <v>-0.44726495726495735</v>
      </c>
      <c r="C17" s="49">
        <f>'DCF Model'!D26</f>
        <v>-0.31833333333333341</v>
      </c>
      <c r="D17" s="49">
        <f>'DCF Model'!E26</f>
        <v>-0.21901639344262291</v>
      </c>
      <c r="E17" s="49">
        <f>'DCF Model'!F26</f>
        <v>-0.12999999999999995</v>
      </c>
      <c r="F17" s="49">
        <f>'DCF Model'!G26</f>
        <v>-6.9016393442622975E-2</v>
      </c>
      <c r="G17" s="49">
        <f>'DCF Model'!H26</f>
        <v>4.2372881355932208E-2</v>
      </c>
      <c r="H17" s="49">
        <f>'DCF Model'!I26</f>
        <v>4.2372881355932174E-2</v>
      </c>
      <c r="I17" s="49">
        <f>'DCF Model'!J26</f>
        <v>4.2372881355932222E-2</v>
      </c>
      <c r="J17" s="49">
        <f>'DCF Model'!K26</f>
        <v>4.237288135593225E-2</v>
      </c>
      <c r="K17" s="49">
        <f>'DCF Model'!L26</f>
        <v>4.2372881355932208E-2</v>
      </c>
      <c r="L17" s="49">
        <f>'DCF Model'!M26</f>
        <v>0.13464285714285715</v>
      </c>
      <c r="M17" s="49">
        <f>'DCF Model'!N26</f>
        <v>0.13464285714285709</v>
      </c>
      <c r="N17" s="49">
        <f>'DCF Model'!O26</f>
        <v>0.13464285714285712</v>
      </c>
      <c r="O17" s="49">
        <f>'DCF Model'!P26</f>
        <v>0.13464285714285715</v>
      </c>
      <c r="P17" s="49">
        <f>'DCF Model'!Q26</f>
        <v>0.13464285714285706</v>
      </c>
      <c r="Q17" s="49">
        <f>'DCF Model'!R26</f>
        <v>0.13629629629629625</v>
      </c>
      <c r="R17" s="49">
        <f>'DCF Model'!S26</f>
        <v>0.1362962962962963</v>
      </c>
      <c r="S17" s="49">
        <f>'DCF Model'!T26</f>
        <v>0.13629629629629628</v>
      </c>
      <c r="T17" s="49">
        <f>'DCF Model'!U26</f>
        <v>0.1362962962962963</v>
      </c>
      <c r="U17" s="49">
        <f>'DCF Model'!V26</f>
        <v>0.13629629629629625</v>
      </c>
    </row>
    <row r="18" spans="1:21" ht="15" customHeight="1" x14ac:dyDescent="0.2">
      <c r="A18" s="16" t="s">
        <v>370</v>
      </c>
      <c r="B18" s="50">
        <f>'DCF Model'!C31</f>
        <v>-61713.579616380172</v>
      </c>
      <c r="C18" s="50">
        <f>'DCF Model'!D31</f>
        <v>-44972.591130740213</v>
      </c>
      <c r="D18" s="50">
        <f>'DCF Model'!E31</f>
        <v>-32208.531939782817</v>
      </c>
      <c r="E18" s="50">
        <f>'DCF Model'!F31</f>
        <v>-20389.959123214205</v>
      </c>
      <c r="F18" s="50">
        <f>'DCF Model'!G31</f>
        <v>-11268.180031114447</v>
      </c>
      <c r="G18" s="50">
        <f>'DCF Model'!H31</f>
        <v>6965.3060435325087</v>
      </c>
      <c r="H18" s="50">
        <f>'DCF Model'!I31</f>
        <v>7012.7909585825664</v>
      </c>
      <c r="I18" s="50">
        <f>'DCF Model'!J31</f>
        <v>7060.599594822088</v>
      </c>
      <c r="J18" s="50">
        <f>'DCF Model'!K31</f>
        <v>7108.7341591710583</v>
      </c>
      <c r="K18" s="50">
        <f>'DCF Model'!L31</f>
        <v>7157.1968735947967</v>
      </c>
      <c r="L18" s="50">
        <f>'DCF Model'!M31</f>
        <v>21733.265765223037</v>
      </c>
      <c r="M18" s="50">
        <f>'DCF Model'!N31</f>
        <v>20768.813966646867</v>
      </c>
      <c r="N18" s="50">
        <f>'DCF Model'!O31</f>
        <v>19847.161408729018</v>
      </c>
      <c r="O18" s="50">
        <f>'DCF Model'!P31</f>
        <v>18966.408800075518</v>
      </c>
      <c r="P18" s="50">
        <f>'DCF Model'!Q31</f>
        <v>18124.741133680236</v>
      </c>
      <c r="Q18" s="50">
        <f>'DCF Model'!R31</f>
        <v>16906.939024853848</v>
      </c>
      <c r="R18" s="50">
        <f>'DCF Model'!S31</f>
        <v>15579.640230750727</v>
      </c>
      <c r="S18" s="50">
        <f>'DCF Model'!T31</f>
        <v>14356.54256295662</v>
      </c>
      <c r="T18" s="50">
        <f>'DCF Model'!U31</f>
        <v>13229.465591584671</v>
      </c>
      <c r="U18" s="50">
        <f>'DCF Model'!V31</f>
        <v>12190.871100853614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41"/>
  <sheetViews>
    <sheetView tabSelected="1" zoomScaleNormal="100" workbookViewId="0">
      <pane xSplit="2" ySplit="3" topLeftCell="D4" activePane="bottomRight" state="frozen"/>
      <selection pane="bottomLeft" activeCell="A4" sqref="A4"/>
      <selection pane="topRight" activeCell="C1" sqref="C1"/>
      <selection pane="bottomRight"/>
    </sheetView>
  </sheetViews>
  <sheetFormatPr defaultColWidth="8.7421875" defaultRowHeight="15" x14ac:dyDescent="0.2"/>
  <cols>
    <col min="1" max="1" width="36.05078125" style="12" customWidth="1"/>
    <col min="2" max="2" width="13.98828125" style="12" customWidth="1"/>
    <col min="3" max="22" width="11.02734375" style="12" customWidth="1"/>
  </cols>
  <sheetData>
    <row r="1" spans="1:23" ht="25.5" customHeight="1" x14ac:dyDescent="0.2">
      <c r="A1" s="3" t="s">
        <v>371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36" customHeight="1" x14ac:dyDescent="0.2">
      <c r="A2" s="2" t="s">
        <v>372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0" customHeight="1" x14ac:dyDescent="0.2">
      <c r="A3" s="14" t="s">
        <v>181</v>
      </c>
      <c r="B3" s="47" t="s">
        <v>182</v>
      </c>
      <c r="C3" s="47" t="s">
        <v>183</v>
      </c>
      <c r="D3" s="59" t="s">
        <v>184</v>
      </c>
      <c r="E3" s="47" t="s">
        <v>185</v>
      </c>
      <c r="F3" s="59" t="s">
        <v>186</v>
      </c>
      <c r="G3" s="47" t="s">
        <v>187</v>
      </c>
      <c r="H3" s="59" t="s">
        <v>188</v>
      </c>
      <c r="I3" s="47" t="s">
        <v>189</v>
      </c>
      <c r="J3" s="59" t="s">
        <v>190</v>
      </c>
      <c r="K3" s="47" t="s">
        <v>191</v>
      </c>
      <c r="L3" s="59" t="s">
        <v>192</v>
      </c>
      <c r="M3" s="47" t="s">
        <v>193</v>
      </c>
      <c r="N3" s="59" t="s">
        <v>194</v>
      </c>
      <c r="O3" s="47" t="s">
        <v>195</v>
      </c>
      <c r="P3" s="59" t="s">
        <v>196</v>
      </c>
      <c r="Q3" s="47" t="s">
        <v>197</v>
      </c>
      <c r="R3" s="59" t="s">
        <v>198</v>
      </c>
      <c r="S3" s="47" t="s">
        <v>199</v>
      </c>
      <c r="T3" s="59" t="s">
        <v>200</v>
      </c>
      <c r="U3" s="47" t="s">
        <v>201</v>
      </c>
      <c r="V3" s="59" t="s">
        <v>202</v>
      </c>
    </row>
    <row r="4" spans="1:23" ht="15" customHeight="1" x14ac:dyDescent="0.2">
      <c r="A4" s="10" t="s">
        <v>373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" customHeight="1" x14ac:dyDescent="0.2">
      <c r="A5" s="71" t="s">
        <v>374</v>
      </c>
      <c r="B5" s="72" t="s">
        <v>205</v>
      </c>
      <c r="C5" s="49">
        <f>B202</f>
        <v>0.17</v>
      </c>
      <c r="D5" s="49">
        <f>B203</f>
        <v>0.22</v>
      </c>
      <c r="E5" s="49">
        <f>B204</f>
        <v>0.25</v>
      </c>
      <c r="F5" s="49">
        <f>B205</f>
        <v>0.28000000000000003</v>
      </c>
      <c r="G5" s="49">
        <f>B206</f>
        <v>0.25</v>
      </c>
      <c r="H5" s="49">
        <f>B207</f>
        <v>0.2</v>
      </c>
      <c r="I5" s="49">
        <f>B207</f>
        <v>0.2</v>
      </c>
      <c r="J5" s="49">
        <f>B207</f>
        <v>0.2</v>
      </c>
      <c r="K5" s="49">
        <f>B207</f>
        <v>0.2</v>
      </c>
      <c r="L5" s="49">
        <f>B207</f>
        <v>0.2</v>
      </c>
      <c r="M5" s="49">
        <f>B208</f>
        <v>0.14000000000000001</v>
      </c>
      <c r="N5" s="49">
        <f>B208</f>
        <v>0.14000000000000001</v>
      </c>
      <c r="O5" s="49">
        <f>B208</f>
        <v>0.14000000000000001</v>
      </c>
      <c r="P5" s="49">
        <f>B208</f>
        <v>0.14000000000000001</v>
      </c>
      <c r="Q5" s="49">
        <f>B208</f>
        <v>0.14000000000000001</v>
      </c>
      <c r="R5" s="49">
        <f>B209</f>
        <v>0.1</v>
      </c>
      <c r="S5" s="49">
        <f>B209</f>
        <v>0.1</v>
      </c>
      <c r="T5" s="49">
        <f>B209</f>
        <v>0.1</v>
      </c>
      <c r="U5" s="49">
        <f>B209</f>
        <v>0.1</v>
      </c>
      <c r="V5" s="49">
        <f>B209</f>
        <v>0.1</v>
      </c>
    </row>
    <row r="6" spans="1:23" ht="15" customHeight="1" x14ac:dyDescent="0.2">
      <c r="A6" s="14" t="s">
        <v>206</v>
      </c>
      <c r="B6" s="50">
        <f>Assumptions!D6</f>
        <v>127672</v>
      </c>
      <c r="C6" s="18">
        <f>B6*(1+C5)</f>
        <v>149376.24</v>
      </c>
      <c r="D6" s="18">
        <f>C6*(1+D5)</f>
        <v>182239.0128</v>
      </c>
      <c r="E6" s="18">
        <f>D6*(1+E5)</f>
        <v>227798.766</v>
      </c>
      <c r="F6" s="18">
        <f>E6*(1+F5)</f>
        <v>291582.42048000003</v>
      </c>
      <c r="G6" s="18">
        <f>F6*(1+G5)</f>
        <v>364478.02560000005</v>
      </c>
      <c r="H6" s="18">
        <f>G6*(1+H5)</f>
        <v>437373.63072000007</v>
      </c>
      <c r="I6" s="18">
        <f>H6*(1+I5)</f>
        <v>524848.35686400009</v>
      </c>
      <c r="J6" s="18">
        <f>I6*(1+J5)</f>
        <v>629818.02823680011</v>
      </c>
      <c r="K6" s="18">
        <f>J6*(1+K5)</f>
        <v>755781.63388416008</v>
      </c>
      <c r="L6" s="18">
        <f>K6*(1+L5)</f>
        <v>906937.96066099207</v>
      </c>
      <c r="M6" s="18">
        <f>L6*(1+M5)</f>
        <v>1033909.2751535311</v>
      </c>
      <c r="N6" s="18">
        <f>M6*(1+N5)</f>
        <v>1178656.5736750255</v>
      </c>
      <c r="O6" s="18">
        <f>N6*(1+O5)</f>
        <v>1343668.4939895291</v>
      </c>
      <c r="P6" s="18">
        <f>O6*(1+P5)</f>
        <v>1531782.0831480634</v>
      </c>
      <c r="Q6" s="18">
        <f>P6*(1+Q5)</f>
        <v>1746231.5747887925</v>
      </c>
      <c r="R6" s="18">
        <f>Q6*(1+R5)</f>
        <v>1920854.732267672</v>
      </c>
      <c r="S6" s="18">
        <f>R6*(1+S5)</f>
        <v>2112940.2054944392</v>
      </c>
      <c r="T6" s="18">
        <f>S6*(1+T5)</f>
        <v>2324234.2260438832</v>
      </c>
      <c r="U6" s="18">
        <f>T6*(1+U5)</f>
        <v>2556657.6486482718</v>
      </c>
      <c r="V6" s="18">
        <f>U6*(1+V5)</f>
        <v>2812323.4135130993</v>
      </c>
    </row>
    <row r="7" spans="1:23" ht="15" customHeight="1" x14ac:dyDescent="0.2">
      <c r="A7" s="10" t="s">
        <v>375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" customHeight="1" x14ac:dyDescent="0.2">
      <c r="A8" s="73" t="s">
        <v>376</v>
      </c>
      <c r="B8" s="49">
        <f>Assumptions!D15</f>
        <v>525</v>
      </c>
      <c r="C8" s="49">
        <f>B210</f>
        <v>0.28000000000000003</v>
      </c>
      <c r="D8" s="49">
        <f>B211</f>
        <v>0.33</v>
      </c>
      <c r="E8" s="49">
        <f>B212</f>
        <v>0.38</v>
      </c>
      <c r="F8" s="49">
        <f>B213</f>
        <v>0.43</v>
      </c>
      <c r="G8" s="49">
        <f>B214</f>
        <v>0.47</v>
      </c>
      <c r="H8" s="49">
        <f>B215</f>
        <v>0.51</v>
      </c>
      <c r="I8" s="49">
        <f>B215</f>
        <v>0.51</v>
      </c>
      <c r="J8" s="49">
        <f>B215</f>
        <v>0.51</v>
      </c>
      <c r="K8" s="49">
        <f>B215</f>
        <v>0.51</v>
      </c>
      <c r="L8" s="49">
        <f>B215</f>
        <v>0.51</v>
      </c>
      <c r="M8" s="49">
        <f>B216</f>
        <v>0.6</v>
      </c>
      <c r="N8" s="49">
        <f>B216</f>
        <v>0.6</v>
      </c>
      <c r="O8" s="49">
        <f>B216</f>
        <v>0.6</v>
      </c>
      <c r="P8" s="49">
        <f>B216</f>
        <v>0.6</v>
      </c>
      <c r="Q8" s="49">
        <f>B216</f>
        <v>0.6</v>
      </c>
      <c r="R8" s="49">
        <f>B216</f>
        <v>0.6</v>
      </c>
      <c r="S8" s="49">
        <f>B216</f>
        <v>0.6</v>
      </c>
      <c r="T8" s="49">
        <f>B216</f>
        <v>0.6</v>
      </c>
      <c r="U8" s="49">
        <f>B216</f>
        <v>0.6</v>
      </c>
      <c r="V8" s="49">
        <f>B216</f>
        <v>0.6</v>
      </c>
    </row>
    <row r="9" spans="1:23" ht="15" customHeight="1" x14ac:dyDescent="0.2">
      <c r="A9" s="71" t="s">
        <v>360</v>
      </c>
      <c r="B9" s="18">
        <f>B6*B8</f>
        <v>67027800</v>
      </c>
      <c r="C9" s="18">
        <f>C6*C8</f>
        <v>41825.347200000004</v>
      </c>
      <c r="D9" s="18">
        <f>D6*D8</f>
        <v>60138.874223999999</v>
      </c>
      <c r="E9" s="18">
        <f>E6*E8</f>
        <v>86563.531080000001</v>
      </c>
      <c r="F9" s="18">
        <f>F6*F8</f>
        <v>125380.44080640002</v>
      </c>
      <c r="G9" s="18">
        <f>G6*G8</f>
        <v>171304.672032</v>
      </c>
      <c r="H9" s="18">
        <f>H6*H8</f>
        <v>223060.55166720005</v>
      </c>
      <c r="I9" s="18">
        <f>I6*I8</f>
        <v>267672.66200064006</v>
      </c>
      <c r="J9" s="18">
        <f>J6*J8</f>
        <v>321207.19440076809</v>
      </c>
      <c r="K9" s="18">
        <f>K6*K8</f>
        <v>385448.63328092167</v>
      </c>
      <c r="L9" s="18">
        <f>L6*L8</f>
        <v>462538.35993710597</v>
      </c>
      <c r="M9" s="18">
        <f>M6*M8</f>
        <v>620345.56509211869</v>
      </c>
      <c r="N9" s="18">
        <f>N6*N8</f>
        <v>707193.94420501532</v>
      </c>
      <c r="O9" s="18">
        <f>O6*O8</f>
        <v>806201.09639371745</v>
      </c>
      <c r="P9" s="18">
        <f>P6*P8</f>
        <v>919069.24988883804</v>
      </c>
      <c r="Q9" s="18">
        <f>Q6*Q8</f>
        <v>1047738.9448732755</v>
      </c>
      <c r="R9" s="18">
        <f>R6*R8</f>
        <v>1152512.8393606031</v>
      </c>
      <c r="S9" s="18">
        <f>S6*S8</f>
        <v>1267764.1232966634</v>
      </c>
      <c r="T9" s="18">
        <f>T6*T8</f>
        <v>1394540.5356263299</v>
      </c>
      <c r="U9" s="18">
        <f>U6*U8</f>
        <v>1533994.5891889629</v>
      </c>
      <c r="V9" s="18">
        <f>V6*V8</f>
        <v>1687394.0481078594</v>
      </c>
    </row>
    <row r="10" spans="1:23" ht="15" customHeight="1" x14ac:dyDescent="0.2">
      <c r="A10" s="73" t="s">
        <v>377</v>
      </c>
      <c r="B10" s="19">
        <f>Assumptions!D12/Assumptions!D6</f>
        <v>-1.6753634312926875</v>
      </c>
      <c r="C10" s="49">
        <f>B217</f>
        <v>0.52</v>
      </c>
      <c r="D10" s="49">
        <f>B218</f>
        <v>0.42</v>
      </c>
      <c r="E10" s="49">
        <f>B219</f>
        <v>0.34</v>
      </c>
      <c r="F10" s="49">
        <f>B220</f>
        <v>0.28000000000000003</v>
      </c>
      <c r="G10" s="49">
        <f>B221</f>
        <v>0.24</v>
      </c>
      <c r="H10" s="49">
        <f>B222</f>
        <v>0.22</v>
      </c>
      <c r="I10" s="49">
        <f>B222</f>
        <v>0.22</v>
      </c>
      <c r="J10" s="49">
        <f>B222</f>
        <v>0.22</v>
      </c>
      <c r="K10" s="49">
        <f>B222</f>
        <v>0.22</v>
      </c>
      <c r="L10" s="49">
        <f>B222</f>
        <v>0.22</v>
      </c>
      <c r="M10" s="49">
        <f>B223</f>
        <v>0.2</v>
      </c>
      <c r="N10" s="49">
        <f>B223</f>
        <v>0.2</v>
      </c>
      <c r="O10" s="49">
        <f>B223</f>
        <v>0.2</v>
      </c>
      <c r="P10" s="49">
        <f>B223</f>
        <v>0.2</v>
      </c>
      <c r="Q10" s="49">
        <f>B223</f>
        <v>0.2</v>
      </c>
      <c r="R10" s="49">
        <f>B223</f>
        <v>0.2</v>
      </c>
      <c r="S10" s="49">
        <f>B223</f>
        <v>0.2</v>
      </c>
      <c r="T10" s="49">
        <f>B223</f>
        <v>0.2</v>
      </c>
      <c r="U10" s="49">
        <f>B223</f>
        <v>0.2</v>
      </c>
      <c r="V10" s="49">
        <f>B223</f>
        <v>0.2</v>
      </c>
    </row>
    <row r="11" spans="1:23" ht="15" customHeight="1" x14ac:dyDescent="0.2">
      <c r="A11" s="71" t="s">
        <v>361</v>
      </c>
      <c r="B11" s="18">
        <f>B6*B10</f>
        <v>-213897</v>
      </c>
      <c r="C11" s="18">
        <f>C6*C10</f>
        <v>77675.644799999995</v>
      </c>
      <c r="D11" s="18">
        <f>D6*D10</f>
        <v>76540.385375999991</v>
      </c>
      <c r="E11" s="18">
        <f>E6*E10</f>
        <v>77451.580440000005</v>
      </c>
      <c r="F11" s="18">
        <f>F6*F10</f>
        <v>81643.077734400009</v>
      </c>
      <c r="G11" s="18">
        <f>G6*G10</f>
        <v>87474.726144000015</v>
      </c>
      <c r="H11" s="18">
        <f>H6*H10</f>
        <v>96222.198758400016</v>
      </c>
      <c r="I11" s="18">
        <f>I6*I10</f>
        <v>115466.63851008003</v>
      </c>
      <c r="J11" s="18">
        <f>J6*J10</f>
        <v>138559.96621209601</v>
      </c>
      <c r="K11" s="18">
        <f>K6*K10</f>
        <v>166271.95945451522</v>
      </c>
      <c r="L11" s="18">
        <f>L6*L10</f>
        <v>199526.35134541825</v>
      </c>
      <c r="M11" s="18">
        <f>M6*M10</f>
        <v>206781.85503070624</v>
      </c>
      <c r="N11" s="18">
        <f>N6*N10</f>
        <v>235731.31473500511</v>
      </c>
      <c r="O11" s="18">
        <f>O6*O10</f>
        <v>268733.69879790582</v>
      </c>
      <c r="P11" s="18">
        <f>P6*P10</f>
        <v>306356.41662961268</v>
      </c>
      <c r="Q11" s="18">
        <f>Q6*Q10</f>
        <v>349246.31495775853</v>
      </c>
      <c r="R11" s="18">
        <f>R6*R10</f>
        <v>384170.94645353442</v>
      </c>
      <c r="S11" s="18">
        <f>S6*S10</f>
        <v>422588.04109888786</v>
      </c>
      <c r="T11" s="18">
        <f>T6*T10</f>
        <v>464846.84520877665</v>
      </c>
      <c r="U11" s="18">
        <f>U6*U10</f>
        <v>511331.52972965437</v>
      </c>
      <c r="V11" s="18">
        <f>V6*V10</f>
        <v>562464.68270261993</v>
      </c>
    </row>
    <row r="12" spans="1:23" ht="15" customHeight="1" x14ac:dyDescent="0.2">
      <c r="A12" s="71" t="s">
        <v>378</v>
      </c>
      <c r="C12" s="49">
        <f>B224</f>
        <v>0.1</v>
      </c>
      <c r="D12" s="49">
        <f>B224</f>
        <v>0.1</v>
      </c>
      <c r="E12" s="49">
        <f>B224</f>
        <v>0.1</v>
      </c>
      <c r="F12" s="49">
        <f>B224</f>
        <v>0.1</v>
      </c>
      <c r="G12" s="49">
        <f>B224</f>
        <v>0.1</v>
      </c>
      <c r="H12" s="49">
        <f>B224</f>
        <v>0.1</v>
      </c>
      <c r="I12" s="49">
        <f>B224</f>
        <v>0.1</v>
      </c>
      <c r="J12" s="49">
        <f>B224</f>
        <v>0.1</v>
      </c>
      <c r="K12" s="49">
        <f>B224</f>
        <v>0.1</v>
      </c>
      <c r="L12" s="49">
        <f>B224</f>
        <v>0.1</v>
      </c>
      <c r="M12" s="49">
        <f>B224</f>
        <v>0.1</v>
      </c>
      <c r="N12" s="49">
        <f>B224</f>
        <v>0.1</v>
      </c>
      <c r="O12" s="49">
        <f>B224</f>
        <v>0.1</v>
      </c>
      <c r="P12" s="49">
        <f>B224</f>
        <v>0.1</v>
      </c>
      <c r="Q12" s="49">
        <f>B224</f>
        <v>0.1</v>
      </c>
      <c r="R12" s="49">
        <f>B224</f>
        <v>0.1</v>
      </c>
      <c r="S12" s="49">
        <f>B224</f>
        <v>0.1</v>
      </c>
      <c r="T12" s="49">
        <f>B224</f>
        <v>0.1</v>
      </c>
      <c r="U12" s="49">
        <f>B224</f>
        <v>0.1</v>
      </c>
      <c r="V12" s="49">
        <f>B224</f>
        <v>0.1</v>
      </c>
    </row>
    <row r="13" spans="1:23" ht="15" customHeight="1" x14ac:dyDescent="0.2">
      <c r="A13" s="14" t="s">
        <v>214</v>
      </c>
      <c r="B13" s="18">
        <f>B9-B11-B6*Assumptions!B68</f>
        <v>67228929.799999997</v>
      </c>
      <c r="C13" s="18">
        <f>C9-C11-C6*B224</f>
        <v>-50787.921599999987</v>
      </c>
      <c r="D13" s="18">
        <f>D9-D11-D6*B224</f>
        <v>-34625.412431999997</v>
      </c>
      <c r="E13" s="18">
        <f>E9-E11-E6*B224</f>
        <v>-13667.925960000008</v>
      </c>
      <c r="F13" s="18">
        <f>F9-F11-F6*B224</f>
        <v>14579.121024000004</v>
      </c>
      <c r="G13" s="18">
        <f>G9-G11-G6*B224</f>
        <v>47382.143327999984</v>
      </c>
      <c r="H13" s="18">
        <f>H9-H11-H6*B224</f>
        <v>83100.989836800029</v>
      </c>
      <c r="I13" s="18">
        <f>I9-I11-I6*B224</f>
        <v>99721.187804160028</v>
      </c>
      <c r="J13" s="18">
        <f>J9-J11-J6*B224</f>
        <v>119665.42536499206</v>
      </c>
      <c r="K13" s="18">
        <f>K9-K11-K6*B224</f>
        <v>143598.51043799042</v>
      </c>
      <c r="L13" s="18">
        <f>L9-L11-L6*B224</f>
        <v>172318.21252558852</v>
      </c>
      <c r="M13" s="18">
        <f>M9-M11-M6*B224</f>
        <v>310172.78254605929</v>
      </c>
      <c r="N13" s="18">
        <f>N9-N11-N6*B224</f>
        <v>353596.9721025076</v>
      </c>
      <c r="O13" s="18">
        <f>O9-O11-O6*B224</f>
        <v>403100.54819685873</v>
      </c>
      <c r="P13" s="18">
        <f>P9-P11-P6*B224</f>
        <v>459534.62494441902</v>
      </c>
      <c r="Q13" s="18">
        <f>Q9-Q11-Q6*B224</f>
        <v>523869.47243663768</v>
      </c>
      <c r="R13" s="18">
        <f>R9-R11-R6*B224</f>
        <v>576256.41968030157</v>
      </c>
      <c r="S13" s="18">
        <f>S9-S11-S6*B224</f>
        <v>633882.0616483317</v>
      </c>
      <c r="T13" s="18">
        <f>T9-T11-T6*B224</f>
        <v>697270.26781316497</v>
      </c>
      <c r="U13" s="18">
        <f>U9-U11-U6*B224</f>
        <v>766997.29459448147</v>
      </c>
      <c r="V13" s="18">
        <f>V9-V11-V6*B224</f>
        <v>843697.02405392961</v>
      </c>
    </row>
    <row r="14" spans="1:23" ht="15" customHeight="1" x14ac:dyDescent="0.2">
      <c r="A14" s="71" t="s">
        <v>363</v>
      </c>
      <c r="B14" s="19">
        <f>IF(B6&lt;&gt;0,B13/B6,0)</f>
        <v>526.57536343129266</v>
      </c>
      <c r="C14" s="19">
        <f>IF(C6&lt;&gt;0,C13/C6,0)</f>
        <v>-0.33999999999999991</v>
      </c>
      <c r="D14" s="19">
        <f>IF(D6&lt;&gt;0,D13/D6,0)</f>
        <v>-0.19</v>
      </c>
      <c r="E14" s="19">
        <f>IF(E6&lt;&gt;0,E13/E6,0)</f>
        <v>-6.0000000000000032E-2</v>
      </c>
      <c r="F14" s="19">
        <f>IF(F6&lt;&gt;0,F13/F6,0)</f>
        <v>5.000000000000001E-2</v>
      </c>
      <c r="G14" s="19">
        <f>IF(G6&lt;&gt;0,G13/G6,0)</f>
        <v>0.12999999999999995</v>
      </c>
      <c r="H14" s="19">
        <f>IF(H6&lt;&gt;0,H13/H6,0)</f>
        <v>0.19000000000000003</v>
      </c>
      <c r="I14" s="19">
        <f>IF(I6&lt;&gt;0,I13/I6,0)</f>
        <v>0.19000000000000003</v>
      </c>
      <c r="J14" s="19">
        <f>IF(J6&lt;&gt;0,J13/J6,0)</f>
        <v>0.19000000000000006</v>
      </c>
      <c r="K14" s="19">
        <f>IF(K6&lt;&gt;0,K13/K6,0)</f>
        <v>0.19</v>
      </c>
      <c r="L14" s="19">
        <f>IF(L6&lt;&gt;0,L13/L6,0)</f>
        <v>0.19000000000000003</v>
      </c>
      <c r="M14" s="19">
        <f>IF(M6&lt;&gt;0,M13/M6,0)</f>
        <v>0.29999999999999993</v>
      </c>
      <c r="N14" s="19">
        <f>IF(N6&lt;&gt;0,N13/N6,0)</f>
        <v>0.29999999999999993</v>
      </c>
      <c r="O14" s="19">
        <f>IF(O6&lt;&gt;0,O13/O6,0)</f>
        <v>0.3</v>
      </c>
      <c r="P14" s="19">
        <f>IF(P6&lt;&gt;0,P13/P6,0)</f>
        <v>0.3</v>
      </c>
      <c r="Q14" s="19">
        <f>IF(Q6&lt;&gt;0,Q13/Q6,0)</f>
        <v>0.29999999999999993</v>
      </c>
      <c r="R14" s="19">
        <f>IF(R6&lt;&gt;0,R13/R6,0)</f>
        <v>0.3</v>
      </c>
      <c r="S14" s="19">
        <f>IF(S6&lt;&gt;0,S13/S6,0)</f>
        <v>0.3</v>
      </c>
      <c r="T14" s="19">
        <f>IF(T6&lt;&gt;0,T13/T6,0)</f>
        <v>0.3</v>
      </c>
      <c r="U14" s="19">
        <f>IF(U6&lt;&gt;0,U13/U6,0)</f>
        <v>0.3</v>
      </c>
      <c r="V14" s="19">
        <f>IF(V6&lt;&gt;0,V13/V6,0)</f>
        <v>0.29999999999999993</v>
      </c>
    </row>
    <row r="15" spans="1:23" ht="15" customHeight="1" x14ac:dyDescent="0.2">
      <c r="A15" s="14" t="s">
        <v>364</v>
      </c>
      <c r="B15" s="18">
        <f>B13*(1-B228)</f>
        <v>67228929.799999997</v>
      </c>
      <c r="C15" s="18">
        <f>C13*(1-B228)</f>
        <v>-50787.921599999987</v>
      </c>
      <c r="D15" s="18">
        <f>D13*(1-B228)</f>
        <v>-34625.412431999997</v>
      </c>
      <c r="E15" s="18">
        <f>E13*(1-B228)</f>
        <v>-13667.925960000008</v>
      </c>
      <c r="F15" s="18">
        <f>F13*(1-B228)</f>
        <v>14579.121024000004</v>
      </c>
      <c r="G15" s="18">
        <f>G13*(1-B228)</f>
        <v>47382.143327999984</v>
      </c>
      <c r="H15" s="18">
        <f>H13*(1-B228)</f>
        <v>83100.989836800029</v>
      </c>
      <c r="I15" s="18">
        <f>I13*(1-B228)</f>
        <v>99721.187804160028</v>
      </c>
      <c r="J15" s="18">
        <f>J13*(1-B228)</f>
        <v>119665.42536499206</v>
      </c>
      <c r="K15" s="18">
        <f>K13*(1-B228)</f>
        <v>143598.51043799042</v>
      </c>
      <c r="L15" s="18">
        <f>L13*(1-B228)</f>
        <v>172318.21252558852</v>
      </c>
      <c r="M15" s="18">
        <f>M13*(1-B228)</f>
        <v>310172.78254605929</v>
      </c>
      <c r="N15" s="18">
        <f>N13*(1-B228)</f>
        <v>353596.9721025076</v>
      </c>
      <c r="O15" s="18">
        <f>O13*(1-B228)</f>
        <v>403100.54819685873</v>
      </c>
      <c r="P15" s="18">
        <f>P13*(1-B228)</f>
        <v>459534.62494441902</v>
      </c>
      <c r="Q15" s="18">
        <f>Q13*(1-B228)</f>
        <v>523869.47243663768</v>
      </c>
      <c r="R15" s="18">
        <f>R13*(1-B228)</f>
        <v>576256.41968030157</v>
      </c>
      <c r="S15" s="18">
        <f>S13*(1-B228)</f>
        <v>633882.0616483317</v>
      </c>
      <c r="T15" s="18">
        <f>T13*(1-B228)</f>
        <v>697270.26781316497</v>
      </c>
      <c r="U15" s="18">
        <f>U13*(1-B228)</f>
        <v>766997.29459448147</v>
      </c>
      <c r="V15" s="18">
        <f>V13*(1-B228)</f>
        <v>843697.02405392961</v>
      </c>
    </row>
    <row r="16" spans="1:23" ht="15" customHeight="1" x14ac:dyDescent="0.2">
      <c r="A16" s="10" t="s">
        <v>379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15" customHeight="1" x14ac:dyDescent="0.2">
      <c r="A17" s="71" t="s">
        <v>380</v>
      </c>
      <c r="B17" s="18">
        <f>B6*B225</f>
        <v>12767.2</v>
      </c>
      <c r="C17" s="18">
        <f>C6*B225</f>
        <v>14937.624</v>
      </c>
      <c r="D17" s="18">
        <f>D6*B225</f>
        <v>18223.901280000002</v>
      </c>
      <c r="E17" s="18">
        <f>E6*B225</f>
        <v>22779.876600000003</v>
      </c>
      <c r="F17" s="18">
        <f>F6*B225</f>
        <v>29158.242048000004</v>
      </c>
      <c r="G17" s="18">
        <f>G6*B225</f>
        <v>36447.802560000004</v>
      </c>
      <c r="H17" s="18">
        <f>H6*B225</f>
        <v>43737.363072000007</v>
      </c>
      <c r="I17" s="18">
        <f>I6*B225</f>
        <v>52484.835686400009</v>
      </c>
      <c r="J17" s="18">
        <f>J6*B225</f>
        <v>62981.802823680016</v>
      </c>
      <c r="K17" s="18">
        <f>K6*B225</f>
        <v>75578.163388416011</v>
      </c>
      <c r="L17" s="18">
        <f>L6*B225</f>
        <v>90693.79606609921</v>
      </c>
      <c r="M17" s="18">
        <f>M6*B225</f>
        <v>103390.92751535312</v>
      </c>
      <c r="N17" s="18">
        <f>N6*B225</f>
        <v>117865.65736750256</v>
      </c>
      <c r="O17" s="18">
        <f>O6*B225</f>
        <v>134366.84939895291</v>
      </c>
      <c r="P17" s="18">
        <f>P6*B225</f>
        <v>153178.20831480634</v>
      </c>
      <c r="Q17" s="18">
        <f>Q6*B225</f>
        <v>174623.15747887926</v>
      </c>
      <c r="R17" s="18">
        <f>R6*B225</f>
        <v>192085.47322676721</v>
      </c>
      <c r="S17" s="18">
        <f>S6*B225</f>
        <v>211294.02054944393</v>
      </c>
      <c r="T17" s="18">
        <f>T6*B225</f>
        <v>232423.42260438832</v>
      </c>
      <c r="U17" s="18">
        <f>U6*B225</f>
        <v>255665.76486482719</v>
      </c>
      <c r="V17" s="18">
        <f>V6*B225</f>
        <v>281232.34135130997</v>
      </c>
    </row>
    <row r="18" spans="1:23" ht="15" customHeight="1" x14ac:dyDescent="0.2">
      <c r="A18" s="71" t="s">
        <v>381</v>
      </c>
      <c r="B18" s="18">
        <f>B6*B226</f>
        <v>3830.16</v>
      </c>
      <c r="C18" s="18">
        <f>C6*B226</f>
        <v>4481.2871999999998</v>
      </c>
      <c r="D18" s="18">
        <f>D6*B226</f>
        <v>5467.170384</v>
      </c>
      <c r="E18" s="18">
        <f>E6*B226</f>
        <v>6833.9629800000002</v>
      </c>
      <c r="F18" s="18">
        <f>F6*B226</f>
        <v>8747.4726144000015</v>
      </c>
      <c r="G18" s="18">
        <f>G6*B226</f>
        <v>10934.340768000002</v>
      </c>
      <c r="H18" s="18">
        <f>H6*B226</f>
        <v>13121.208921600002</v>
      </c>
      <c r="I18" s="18">
        <f>I6*B226</f>
        <v>15745.450705920002</v>
      </c>
      <c r="J18" s="18">
        <f>J6*B226</f>
        <v>18894.540847104003</v>
      </c>
      <c r="K18" s="18">
        <f>K6*B226</f>
        <v>22673.449016524803</v>
      </c>
      <c r="L18" s="18">
        <f>L6*B226</f>
        <v>27208.138819829761</v>
      </c>
      <c r="M18" s="18">
        <f>M6*B226</f>
        <v>31017.278254605932</v>
      </c>
      <c r="N18" s="18">
        <f>N6*B226</f>
        <v>35359.697210250764</v>
      </c>
      <c r="O18" s="18">
        <f>O6*B226</f>
        <v>40310.054819685873</v>
      </c>
      <c r="P18" s="18">
        <f>P6*B226</f>
        <v>45953.462494441897</v>
      </c>
      <c r="Q18" s="18">
        <f>Q6*B226</f>
        <v>52386.947243663773</v>
      </c>
      <c r="R18" s="18">
        <f>R6*B226</f>
        <v>57625.641968030155</v>
      </c>
      <c r="S18" s="18">
        <f>S6*B226</f>
        <v>63388.206164833173</v>
      </c>
      <c r="T18" s="18">
        <f>T6*B226</f>
        <v>69727.026781316497</v>
      </c>
      <c r="U18" s="18">
        <f>U6*B226</f>
        <v>76699.72945944815</v>
      </c>
      <c r="V18" s="18">
        <f>V6*B226</f>
        <v>84369.702405392978</v>
      </c>
    </row>
    <row r="19" spans="1:23" ht="15" customHeight="1" x14ac:dyDescent="0.2">
      <c r="A19" s="71" t="s">
        <v>382</v>
      </c>
      <c r="B19" s="18">
        <f>0</f>
        <v>0</v>
      </c>
      <c r="C19" s="18">
        <f>(C6-B6)*B227</f>
        <v>868.1695999999996</v>
      </c>
      <c r="D19" s="18">
        <f>(D6-C6)*B227</f>
        <v>1314.5109120000002</v>
      </c>
      <c r="E19" s="18">
        <f>(E6-D6)*B227</f>
        <v>1822.3901280000002</v>
      </c>
      <c r="F19" s="18">
        <f>(F6-E6)*B227</f>
        <v>2551.3461792000012</v>
      </c>
      <c r="G19" s="18">
        <f>(G6-F6)*B227</f>
        <v>2915.8242048000011</v>
      </c>
      <c r="H19" s="18">
        <f>(H6-G6)*B227</f>
        <v>2915.8242048000011</v>
      </c>
      <c r="I19" s="18">
        <f>(I6-H6)*B227</f>
        <v>3498.9890457600009</v>
      </c>
      <c r="J19" s="18">
        <f>(J6-I6)*B227</f>
        <v>4198.7868549120012</v>
      </c>
      <c r="K19" s="18">
        <f>(K6-J6)*B227</f>
        <v>5038.5442258943995</v>
      </c>
      <c r="L19" s="18">
        <f>(L6-K6)*B227</f>
        <v>6046.2530710732799</v>
      </c>
      <c r="M19" s="18">
        <f>(M6-L6)*B227</f>
        <v>5078.8525797015618</v>
      </c>
      <c r="N19" s="18">
        <f>(N6-M6)*B227</f>
        <v>5789.8919408597749</v>
      </c>
      <c r="O19" s="18">
        <f>(O6-N6)*B227</f>
        <v>6600.4768125801438</v>
      </c>
      <c r="P19" s="18">
        <f>(P6-O6)*B227</f>
        <v>7524.5435663413728</v>
      </c>
      <c r="Q19" s="18">
        <f>(Q6-P6)*B227</f>
        <v>8577.9796656291655</v>
      </c>
      <c r="R19" s="18">
        <f>(R6-Q6)*B227</f>
        <v>6984.9262991551777</v>
      </c>
      <c r="S19" s="18">
        <f>(S6-R6)*B227</f>
        <v>7683.4189290706909</v>
      </c>
      <c r="T19" s="18">
        <f>(T6-S6)*B227</f>
        <v>8451.7608219777612</v>
      </c>
      <c r="U19" s="18">
        <f>(U6-T6)*B227</f>
        <v>9296.9369041755417</v>
      </c>
      <c r="V19" s="18">
        <f>(V6-U6)*B227</f>
        <v>10226.6305945931</v>
      </c>
    </row>
    <row r="20" spans="1:23" ht="15" customHeight="1" x14ac:dyDescent="0.2">
      <c r="A20" s="51" t="s">
        <v>225</v>
      </c>
      <c r="B20" s="18">
        <f>B15+B17-B18-B19</f>
        <v>67237866.840000004</v>
      </c>
      <c r="C20" s="54">
        <f>C15+C17-C18-C19</f>
        <v>-41199.754399999991</v>
      </c>
      <c r="D20" s="54">
        <f>D15+D17-D18-D19</f>
        <v>-23183.192447999998</v>
      </c>
      <c r="E20" s="54">
        <f>E15+E17-E18-E19</f>
        <v>455.597531999995</v>
      </c>
      <c r="F20" s="54">
        <f>F15+F17-F18-F19</f>
        <v>32438.544278400004</v>
      </c>
      <c r="G20" s="54">
        <f>G15+G17-G18-G19</f>
        <v>69979.780915199997</v>
      </c>
      <c r="H20" s="54">
        <f>H15+H17-H18-H19</f>
        <v>110801.31978240004</v>
      </c>
      <c r="I20" s="54">
        <f>I15+I17-I18-I19</f>
        <v>132961.58373888003</v>
      </c>
      <c r="J20" s="54">
        <f>J15+J17-J18-J19</f>
        <v>159553.90048665606</v>
      </c>
      <c r="K20" s="54">
        <f>K15+K17-K18-K19</f>
        <v>191464.68058398721</v>
      </c>
      <c r="L20" s="54">
        <f>L15+L17-L18-L19</f>
        <v>229757.61670078468</v>
      </c>
      <c r="M20" s="54">
        <f>M15+M17-M18-M19</f>
        <v>377467.5792271049</v>
      </c>
      <c r="N20" s="54">
        <f>N15+N17-N18-N19</f>
        <v>430313.04031889961</v>
      </c>
      <c r="O20" s="54">
        <f>O15+O17-O18-O19</f>
        <v>490556.86596354563</v>
      </c>
      <c r="P20" s="54">
        <f>P15+P17-P18-P19</f>
        <v>559234.82719844207</v>
      </c>
      <c r="Q20" s="54">
        <f>Q15+Q17-Q18-Q19</f>
        <v>637527.70300622389</v>
      </c>
      <c r="R20" s="54">
        <f>R15+R17-R18-R19</f>
        <v>703731.32463988347</v>
      </c>
      <c r="S20" s="54">
        <f>S15+S17-S18-S19</f>
        <v>774104.45710387174</v>
      </c>
      <c r="T20" s="54">
        <f>T15+T17-T18-T19</f>
        <v>851514.90281425905</v>
      </c>
      <c r="U20" s="54">
        <f>U15+U17-U18-U19</f>
        <v>936666.39309568494</v>
      </c>
      <c r="V20" s="54">
        <f>V15+V17-V18-V19</f>
        <v>1030333.0324052535</v>
      </c>
    </row>
    <row r="21" spans="1:23" ht="15" customHeight="1" x14ac:dyDescent="0.2">
      <c r="A21" s="71" t="s">
        <v>369</v>
      </c>
      <c r="B21" s="19">
        <f>IF(B6&lt;&gt;0,B20/B6,0)</f>
        <v>526.64536343129271</v>
      </c>
      <c r="C21" s="19">
        <f>IF(C6&lt;&gt;0,C20/C6,0)</f>
        <v>-0.27581196581196576</v>
      </c>
      <c r="D21" s="19">
        <f>IF(D6&lt;&gt;0,D20/D6,0)</f>
        <v>-0.12721311475409836</v>
      </c>
      <c r="E21" s="19">
        <f>IF(E6&lt;&gt;0,E20/E6,0)</f>
        <v>1.9999999999999779E-3</v>
      </c>
      <c r="F21" s="19">
        <f>IF(F6&lt;&gt;0,F20/F6,0)</f>
        <v>0.11125</v>
      </c>
      <c r="G21" s="19">
        <f>IF(G6&lt;&gt;0,G20/G6,0)</f>
        <v>0.19199999999999998</v>
      </c>
      <c r="H21" s="19">
        <f>IF(H6&lt;&gt;0,H20/H6,0)</f>
        <v>0.25333333333333335</v>
      </c>
      <c r="I21" s="19">
        <f>IF(I6&lt;&gt;0,I20/I6,0)</f>
        <v>0.25333333333333335</v>
      </c>
      <c r="J21" s="19">
        <f>IF(J6&lt;&gt;0,J20/J6,0)</f>
        <v>0.25333333333333335</v>
      </c>
      <c r="K21" s="19">
        <f>IF(K6&lt;&gt;0,K20/K6,0)</f>
        <v>0.2533333333333333</v>
      </c>
      <c r="L21" s="19">
        <f>IF(L6&lt;&gt;0,L20/L6,0)</f>
        <v>0.25333333333333335</v>
      </c>
      <c r="M21" s="19">
        <f>IF(M6&lt;&gt;0,M20/M6,0)</f>
        <v>0.36508771929824557</v>
      </c>
      <c r="N21" s="19">
        <f>IF(N6&lt;&gt;0,N20/N6,0)</f>
        <v>0.36508771929824557</v>
      </c>
      <c r="O21" s="19">
        <f>IF(O6&lt;&gt;0,O20/O6,0)</f>
        <v>0.36508771929824563</v>
      </c>
      <c r="P21" s="19">
        <f>IF(P6&lt;&gt;0,P20/P6,0)</f>
        <v>0.36508771929824563</v>
      </c>
      <c r="Q21" s="19">
        <f>IF(Q6&lt;&gt;0,Q20/Q6,0)</f>
        <v>0.36508771929824552</v>
      </c>
      <c r="R21" s="19">
        <f>IF(R6&lt;&gt;0,R20/R6,0)</f>
        <v>0.36636363636363639</v>
      </c>
      <c r="S21" s="19">
        <f>IF(S6&lt;&gt;0,S20/S6,0)</f>
        <v>0.36636363636363634</v>
      </c>
      <c r="T21" s="19">
        <f>IF(T6&lt;&gt;0,T20/T6,0)</f>
        <v>0.36636363636363639</v>
      </c>
      <c r="U21" s="19">
        <f>IF(U6&lt;&gt;0,U20/U6,0)</f>
        <v>0.36636363636363634</v>
      </c>
      <c r="V21" s="19">
        <f>IF(V6&lt;&gt;0,V20/V6,0)</f>
        <v>0.36636363636363634</v>
      </c>
    </row>
    <row r="22" spans="1:23" ht="15" customHeight="1" x14ac:dyDescent="0.2">
      <c r="A22" s="9" t="s">
        <v>383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5" customHeight="1" x14ac:dyDescent="0.2">
      <c r="A23" s="74" t="s">
        <v>384</v>
      </c>
      <c r="B23" s="75">
        <f>B238</f>
        <v>9.5469999999999999E-2</v>
      </c>
      <c r="C23" s="75">
        <f>B238</f>
        <v>9.5469999999999999E-2</v>
      </c>
      <c r="D23" s="75">
        <f>B238</f>
        <v>9.5469999999999999E-2</v>
      </c>
      <c r="E23" s="75">
        <f>B238</f>
        <v>9.5469999999999999E-2</v>
      </c>
      <c r="F23" s="75">
        <f>B238</f>
        <v>9.5469999999999999E-2</v>
      </c>
      <c r="G23" s="75">
        <f>B238</f>
        <v>9.5469999999999999E-2</v>
      </c>
      <c r="H23" s="75">
        <f>B238</f>
        <v>9.5469999999999999E-2</v>
      </c>
      <c r="I23" s="75">
        <f>B238</f>
        <v>9.5469999999999999E-2</v>
      </c>
      <c r="J23" s="75">
        <f>B238</f>
        <v>9.5469999999999999E-2</v>
      </c>
      <c r="K23" s="75">
        <f>B238</f>
        <v>9.5469999999999999E-2</v>
      </c>
      <c r="L23" s="75">
        <f>B238</f>
        <v>9.5469999999999999E-2</v>
      </c>
      <c r="M23" s="75">
        <f>B238</f>
        <v>9.5469999999999999E-2</v>
      </c>
      <c r="N23" s="75">
        <f>B238</f>
        <v>9.5469999999999999E-2</v>
      </c>
      <c r="O23" s="75">
        <f>B238</f>
        <v>9.5469999999999999E-2</v>
      </c>
      <c r="P23" s="75">
        <f>B238</f>
        <v>9.5469999999999999E-2</v>
      </c>
      <c r="Q23" s="75">
        <f>B238</f>
        <v>9.5469999999999999E-2</v>
      </c>
      <c r="R23" s="75">
        <f>B238</f>
        <v>9.5469999999999999E-2</v>
      </c>
      <c r="S23" s="75">
        <f>B238</f>
        <v>9.5469999999999999E-2</v>
      </c>
      <c r="T23" s="75">
        <f>B238</f>
        <v>9.5469999999999999E-2</v>
      </c>
      <c r="U23" s="75">
        <f>B238</f>
        <v>9.5469999999999999E-2</v>
      </c>
      <c r="V23" s="75">
        <f>B238</f>
        <v>9.5469999999999999E-2</v>
      </c>
      <c r="W23" s="75">
        <f>B238</f>
        <v>9.5469999999999999E-2</v>
      </c>
    </row>
    <row r="24" spans="1:23" ht="15" customHeight="1" x14ac:dyDescent="0.2">
      <c r="A24" s="71" t="s">
        <v>385</v>
      </c>
      <c r="B24" s="72" t="s">
        <v>205</v>
      </c>
      <c r="C24" s="52">
        <f>1-0.5</f>
        <v>0.5</v>
      </c>
      <c r="D24" s="52">
        <f>2-0.5</f>
        <v>1.5</v>
      </c>
      <c r="E24" s="52">
        <f>3-0.5</f>
        <v>2.5</v>
      </c>
      <c r="F24" s="52">
        <f>4-0.5</f>
        <v>3.5</v>
      </c>
      <c r="G24" s="52">
        <f>5-0.5</f>
        <v>4.5</v>
      </c>
      <c r="H24" s="52">
        <f>6-0.5</f>
        <v>5.5</v>
      </c>
      <c r="I24" s="52">
        <f>7-0.5</f>
        <v>6.5</v>
      </c>
      <c r="J24" s="52">
        <f>8-0.5</f>
        <v>7.5</v>
      </c>
      <c r="K24" s="52">
        <f>9-0.5</f>
        <v>8.5</v>
      </c>
      <c r="L24" s="52">
        <f>10-0.5</f>
        <v>9.5</v>
      </c>
      <c r="M24" s="52">
        <f>11-0.5</f>
        <v>10.5</v>
      </c>
      <c r="N24" s="52">
        <f>12-0.5</f>
        <v>11.5</v>
      </c>
      <c r="O24" s="52">
        <f>13-0.5</f>
        <v>12.5</v>
      </c>
      <c r="P24" s="52">
        <f>14-0.5</f>
        <v>13.5</v>
      </c>
      <c r="Q24" s="52">
        <f>15-0.5</f>
        <v>14.5</v>
      </c>
      <c r="R24" s="52">
        <f>16-0.5</f>
        <v>15.5</v>
      </c>
      <c r="S24" s="52">
        <f>17-0.5</f>
        <v>16.5</v>
      </c>
      <c r="T24" s="52">
        <f>18-0.5</f>
        <v>17.5</v>
      </c>
      <c r="U24" s="52">
        <f>19-0.5</f>
        <v>18.5</v>
      </c>
      <c r="V24" s="52">
        <f>20-0.5</f>
        <v>19.5</v>
      </c>
    </row>
    <row r="25" spans="1:23" ht="15" customHeight="1" x14ac:dyDescent="0.2">
      <c r="A25" s="71" t="s">
        <v>386</v>
      </c>
      <c r="B25" s="72" t="s">
        <v>205</v>
      </c>
      <c r="C25" s="53">
        <f>1/(1+C23)^C24</f>
        <v>0.95543194009566457</v>
      </c>
      <c r="D25" s="53">
        <f>1/(1+D23)^D24</f>
        <v>0.87216623010731886</v>
      </c>
      <c r="E25" s="53">
        <f>1/(1+E23)^E24</f>
        <v>0.79615711074453788</v>
      </c>
      <c r="F25" s="53">
        <f>1/(1+F23)^F24</f>
        <v>0.72677217152869356</v>
      </c>
      <c r="G25" s="53">
        <f>1/(1+G23)^G24</f>
        <v>0.66343411643284944</v>
      </c>
      <c r="H25" s="53">
        <f>1/(1+H23)^H24</f>
        <v>0.60561596066788637</v>
      </c>
      <c r="I25" s="53">
        <f>1/(1+I23)^I24</f>
        <v>0.55283664606779415</v>
      </c>
      <c r="J25" s="53">
        <f>1/(1+J23)^J24</f>
        <v>0.50465703859329247</v>
      </c>
      <c r="K25" s="53">
        <f>1/(1+K23)^K24</f>
        <v>0.46067627465224287</v>
      </c>
      <c r="L25" s="53">
        <f>1/(1+L23)^L24</f>
        <v>0.42052842583753364</v>
      </c>
      <c r="M25" s="53">
        <f>1/(1+M23)^M24</f>
        <v>0.38387945433241771</v>
      </c>
      <c r="N25" s="53">
        <f>1/(1+N23)^N24</f>
        <v>0.35042443365169079</v>
      </c>
      <c r="O25" s="53">
        <f>1/(1+O23)^O24</f>
        <v>0.31988501159474086</v>
      </c>
      <c r="P25" s="53">
        <f>1/(1+P23)^P24</f>
        <v>0.29200709430175259</v>
      </c>
      <c r="Q25" s="53">
        <f>1/(1+Q23)^Q24</f>
        <v>0.26655873214396797</v>
      </c>
      <c r="R25" s="53">
        <f>1/(1+R23)^R24</f>
        <v>0.24332818985820515</v>
      </c>
      <c r="S25" s="53">
        <f>1/(1+S23)^S24</f>
        <v>0.22212218486878255</v>
      </c>
      <c r="T25" s="53">
        <f>1/(1+T23)^T24</f>
        <v>0.20276427913934891</v>
      </c>
      <c r="U25" s="53">
        <f>1/(1+U23)^U24</f>
        <v>0.18509341117451772</v>
      </c>
      <c r="V25" s="53">
        <f>1/(1+V23)^V24</f>
        <v>0.16896255595727652</v>
      </c>
    </row>
    <row r="26" spans="1:23" ht="15" customHeight="1" x14ac:dyDescent="0.2">
      <c r="A26" s="71" t="s">
        <v>370</v>
      </c>
      <c r="B26" s="72" t="s">
        <v>205</v>
      </c>
      <c r="C26" s="18">
        <f>C20*C25</f>
        <v>-39363.561277856883</v>
      </c>
      <c r="D26" s="18">
        <f>D20*D25</f>
        <v>-20219.597559224621</v>
      </c>
      <c r="E26" s="18">
        <f>E20*E25</f>
        <v>362.72721473945813</v>
      </c>
      <c r="F26" s="18">
        <f>F20*F25</f>
        <v>23575.431266442451</v>
      </c>
      <c r="G26" s="18">
        <f>G20*G25</f>
        <v>46426.974119640094</v>
      </c>
      <c r="H26" s="18">
        <f>H20*H25</f>
        <v>67103.047723287877</v>
      </c>
      <c r="I26" s="18">
        <f>I20*I25</f>
        <v>73506.036010064592</v>
      </c>
      <c r="J26" s="18">
        <f>J20*J25</f>
        <v>80519.998915604738</v>
      </c>
      <c r="K26" s="18">
        <f>K20*K25</f>
        <v>88203.235778912844</v>
      </c>
      <c r="L26" s="18">
        <f>L20*L25</f>
        <v>96619.608875364414</v>
      </c>
      <c r="M26" s="18">
        <f>M20*M25</f>
        <v>144902.04834187968</v>
      </c>
      <c r="N26" s="18">
        <f>N20*N25</f>
        <v>150792.20344668758</v>
      </c>
      <c r="O26" s="18">
        <f>O20*O25</f>
        <v>156921.78875662852</v>
      </c>
      <c r="P26" s="18">
        <f>P20*P25</f>
        <v>163300.53692255978</v>
      </c>
      <c r="Q26" s="18">
        <f>Q20*Q25</f>
        <v>169938.57621999519</v>
      </c>
      <c r="R26" s="18">
        <f>R20*R25</f>
        <v>171237.66937113975</v>
      </c>
      <c r="S26" s="18">
        <f>S20*S25</f>
        <v>171945.77332857475</v>
      </c>
      <c r="T26" s="18">
        <f>T20*T25</f>
        <v>172656.80544554599</v>
      </c>
      <c r="U26" s="18">
        <f>U20*U25</f>
        <v>173370.77783061206</v>
      </c>
      <c r="V26" s="18">
        <f>V20*V25</f>
        <v>174087.70264240305</v>
      </c>
    </row>
    <row r="27" spans="1:23" ht="15" customHeight="1" x14ac:dyDescent="0.2">
      <c r="A27" s="51" t="s">
        <v>232</v>
      </c>
      <c r="B27" s="54">
        <f>SUM(C26:V26)</f>
        <v>2065887.7833730015</v>
      </c>
    </row>
    <row r="28" spans="1:23" ht="15" customHeight="1" x14ac:dyDescent="0.2">
      <c r="A28" s="10" t="s">
        <v>387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5" customHeight="1" x14ac:dyDescent="0.2">
      <c r="A29" s="71" t="s">
        <v>268</v>
      </c>
      <c r="B29" s="49">
        <f>B239</f>
        <v>0.04</v>
      </c>
    </row>
    <row r="30" spans="1:23" ht="15" customHeight="1" x14ac:dyDescent="0.2">
      <c r="A30" s="14" t="s">
        <v>388</v>
      </c>
      <c r="B30" s="55">
        <f>IF(B238&gt;B29,V20*(1+B29)/(B238-B29),0)</f>
        <v>19317583.445131849</v>
      </c>
    </row>
    <row r="31" spans="1:23" ht="15" customHeight="1" x14ac:dyDescent="0.2">
      <c r="A31" s="14" t="s">
        <v>239</v>
      </c>
      <c r="B31" s="55">
        <f>B30/(1+B238)^20</f>
        <v>3118480.4316157419</v>
      </c>
    </row>
    <row r="32" spans="1:23" ht="15" customHeight="1" x14ac:dyDescent="0.2">
      <c r="A32" s="71" t="s">
        <v>389</v>
      </c>
      <c r="B32" s="19">
        <f>IF((B27+B31)&lt;&gt;0,B31/(B27+B31),0)</f>
        <v>0.60151600007880857</v>
      </c>
    </row>
    <row r="33" spans="1:23" ht="15" customHeight="1" x14ac:dyDescent="0.2">
      <c r="A33" s="10" t="s">
        <v>248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5" customHeight="1" x14ac:dyDescent="0.2">
      <c r="A34" s="51" t="s">
        <v>270</v>
      </c>
      <c r="B34" s="54">
        <f>B27+B31</f>
        <v>5184368.2149887439</v>
      </c>
    </row>
    <row r="35" spans="1:23" ht="15" customHeight="1" x14ac:dyDescent="0.2">
      <c r="A35" s="71" t="s">
        <v>390</v>
      </c>
      <c r="B35" s="50">
        <f>MAX(0,Assumptions!C27-Assumptions!C32)</f>
        <v>443868</v>
      </c>
      <c r="C35" s="76" t="s">
        <v>391</v>
      </c>
    </row>
    <row r="36" spans="1:23" ht="15" customHeight="1" x14ac:dyDescent="0.2">
      <c r="A36" s="71" t="s">
        <v>392</v>
      </c>
      <c r="B36" s="50">
        <f>MAX(0,Assumptions!C32-Assumptions!C27)</f>
        <v>0</v>
      </c>
    </row>
    <row r="37" spans="1:23" ht="15" customHeight="1" x14ac:dyDescent="0.2">
      <c r="A37" s="74" t="s">
        <v>271</v>
      </c>
      <c r="B37" s="55">
        <f>B34+B35-B36</f>
        <v>5628236.2149887439</v>
      </c>
    </row>
    <row r="38" spans="1:23" ht="15" customHeight="1" x14ac:dyDescent="0.2">
      <c r="A38" s="71" t="s">
        <v>393</v>
      </c>
      <c r="B38" s="77">
        <f>Assumptions!C34</f>
        <v>475055655</v>
      </c>
    </row>
    <row r="39" spans="1:23" ht="21.75" customHeight="1" x14ac:dyDescent="0.2">
      <c r="A39" s="78" t="s">
        <v>394</v>
      </c>
      <c r="B39" s="79">
        <f>IF(B38&gt;0,B37*1000/B38,0)</f>
        <v>11.847530190938878</v>
      </c>
    </row>
    <row r="41" spans="1:23" ht="15" customHeight="1" x14ac:dyDescent="0.2">
      <c r="A41" s="10" t="s">
        <v>395</v>
      </c>
      <c r="B41" s="10"/>
      <c r="C41" s="10"/>
      <c r="D41" s="10"/>
      <c r="E41" s="10"/>
      <c r="F41" s="10"/>
      <c r="G41" s="10"/>
      <c r="H41" s="10"/>
    </row>
    <row r="42" spans="1:23" ht="23.25" customHeight="1" x14ac:dyDescent="0.2">
      <c r="A42" s="47" t="s">
        <v>258</v>
      </c>
      <c r="B42" s="59" t="s">
        <v>49</v>
      </c>
      <c r="C42" s="59" t="s">
        <v>396</v>
      </c>
      <c r="D42" s="59" t="s">
        <v>397</v>
      </c>
    </row>
    <row r="43" spans="1:23" ht="15" customHeight="1" x14ac:dyDescent="0.2">
      <c r="A43" s="16" t="s">
        <v>128</v>
      </c>
      <c r="B43" s="49">
        <f>Assumptions!B87</f>
        <v>0.17201</v>
      </c>
      <c r="C43" s="19">
        <f>B238</f>
        <v>9.5469999999999999E-2</v>
      </c>
      <c r="D43" s="13" t="s">
        <v>398</v>
      </c>
    </row>
    <row r="44" spans="1:23" ht="15" customHeight="1" x14ac:dyDescent="0.2">
      <c r="A44" s="16" t="s">
        <v>268</v>
      </c>
      <c r="B44" s="49">
        <f>Assumptions!B92</f>
        <v>0.03</v>
      </c>
      <c r="C44" s="19">
        <f>B239</f>
        <v>0.04</v>
      </c>
      <c r="D44" s="13" t="s">
        <v>399</v>
      </c>
    </row>
    <row r="45" spans="1:23" ht="15" customHeight="1" x14ac:dyDescent="0.2">
      <c r="A45" s="16" t="s">
        <v>400</v>
      </c>
      <c r="B45" s="49">
        <f>Assumptions!B60</f>
        <v>0.42</v>
      </c>
      <c r="C45" s="19">
        <f>B216</f>
        <v>0.6</v>
      </c>
      <c r="D45" s="13" t="s">
        <v>401</v>
      </c>
    </row>
    <row r="46" spans="1:23" ht="15" customHeight="1" x14ac:dyDescent="0.2">
      <c r="A46" s="16" t="s">
        <v>402</v>
      </c>
      <c r="B46" s="49">
        <f>Assumptions!B67</f>
        <v>0.25</v>
      </c>
      <c r="C46" s="19">
        <f>B223</f>
        <v>0.2</v>
      </c>
      <c r="D46" s="13" t="s">
        <v>403</v>
      </c>
    </row>
    <row r="47" spans="1:23" ht="15" customHeight="1" x14ac:dyDescent="0.2">
      <c r="A47" s="16" t="s">
        <v>404</v>
      </c>
      <c r="B47" s="80" t="s">
        <v>405</v>
      </c>
      <c r="C47" s="81" t="s">
        <v>406</v>
      </c>
      <c r="D47" s="13" t="s">
        <v>407</v>
      </c>
    </row>
    <row r="48" spans="1:23" ht="15" customHeight="1" x14ac:dyDescent="0.2">
      <c r="A48" s="16" t="s">
        <v>269</v>
      </c>
      <c r="B48" s="50">
        <f>'DCF Model'!B32</f>
        <v>36455.635373825324</v>
      </c>
      <c r="C48" s="18">
        <f>B27</f>
        <v>2065887.7833730015</v>
      </c>
      <c r="D48" s="13"/>
    </row>
    <row r="49" spans="1:8" ht="15" customHeight="1" x14ac:dyDescent="0.2">
      <c r="A49" s="16" t="s">
        <v>239</v>
      </c>
      <c r="B49" s="50">
        <f>'DCF Model'!B39</f>
        <v>81674.66803526241</v>
      </c>
      <c r="C49" s="18">
        <f>B31</f>
        <v>3118480.4316157419</v>
      </c>
      <c r="D49" s="13"/>
    </row>
    <row r="50" spans="1:8" ht="15" customHeight="1" x14ac:dyDescent="0.2">
      <c r="A50" s="14" t="s">
        <v>270</v>
      </c>
      <c r="B50" s="50">
        <f>'DCF Model'!B49</f>
        <v>118130.30340908773</v>
      </c>
      <c r="C50" s="18">
        <f>B34</f>
        <v>5184368.2149887439</v>
      </c>
      <c r="D50" s="13"/>
    </row>
    <row r="51" spans="1:8" ht="15" customHeight="1" x14ac:dyDescent="0.2">
      <c r="A51" s="16" t="s">
        <v>271</v>
      </c>
      <c r="B51" s="50">
        <f>'DCF Model'!B53</f>
        <v>561998.3034090877</v>
      </c>
      <c r="C51" s="18">
        <f>B37</f>
        <v>5628236.2149887439</v>
      </c>
      <c r="D51" s="13"/>
    </row>
    <row r="52" spans="1:8" ht="15" customHeight="1" x14ac:dyDescent="0.2">
      <c r="A52" s="14" t="s">
        <v>272</v>
      </c>
      <c r="B52" s="82">
        <f>'DCF Model'!B55</f>
        <v>1.1830157108835757</v>
      </c>
      <c r="C52" s="83">
        <f>B39</f>
        <v>11.847530190938878</v>
      </c>
      <c r="D52" s="13"/>
    </row>
    <row r="55" spans="1:8" ht="15" customHeight="1" x14ac:dyDescent="0.2">
      <c r="A55" s="1" t="s">
        <v>408</v>
      </c>
      <c r="B55" s="1"/>
      <c r="C55" s="1"/>
      <c r="D55" s="1"/>
      <c r="E55" s="1"/>
      <c r="F55" s="1"/>
      <c r="G55" s="1"/>
      <c r="H55" s="1"/>
    </row>
    <row r="56" spans="1:8" ht="23.25" customHeight="1" x14ac:dyDescent="0.2">
      <c r="A56" s="47" t="s">
        <v>48</v>
      </c>
      <c r="B56" s="59" t="s">
        <v>409</v>
      </c>
      <c r="C56" s="59" t="s">
        <v>410</v>
      </c>
    </row>
    <row r="57" spans="1:8" ht="45" customHeight="1" x14ac:dyDescent="0.2">
      <c r="A57" s="84" t="s">
        <v>411</v>
      </c>
      <c r="B57" s="85" t="s">
        <v>412</v>
      </c>
      <c r="C57" s="86" t="s">
        <v>413</v>
      </c>
    </row>
    <row r="58" spans="1:8" ht="45" customHeight="1" x14ac:dyDescent="0.2">
      <c r="A58" s="84" t="s">
        <v>414</v>
      </c>
      <c r="B58" s="85" t="s">
        <v>415</v>
      </c>
      <c r="C58" s="86" t="s">
        <v>416</v>
      </c>
    </row>
    <row r="59" spans="1:8" ht="45" customHeight="1" x14ac:dyDescent="0.2">
      <c r="A59" s="84" t="s">
        <v>417</v>
      </c>
      <c r="B59" s="85" t="s">
        <v>418</v>
      </c>
      <c r="C59" s="86" t="s">
        <v>419</v>
      </c>
    </row>
    <row r="60" spans="1:8" ht="45" customHeight="1" x14ac:dyDescent="0.2">
      <c r="A60" s="84" t="s">
        <v>420</v>
      </c>
      <c r="B60" s="85" t="s">
        <v>421</v>
      </c>
      <c r="C60" s="86" t="s">
        <v>422</v>
      </c>
    </row>
    <row r="61" spans="1:8" ht="45" customHeight="1" x14ac:dyDescent="0.2">
      <c r="A61" s="84" t="s">
        <v>423</v>
      </c>
      <c r="B61" s="85" t="s">
        <v>424</v>
      </c>
      <c r="C61" s="86" t="s">
        <v>425</v>
      </c>
    </row>
    <row r="200" spans="1:5" ht="15" customHeight="1" x14ac:dyDescent="0.2">
      <c r="A200" s="9" t="s">
        <v>426</v>
      </c>
      <c r="B200" s="9"/>
      <c r="C200" s="9"/>
      <c r="D200" s="9"/>
      <c r="E200" s="9"/>
    </row>
    <row r="201" spans="1:5" ht="23.25" customHeight="1" x14ac:dyDescent="0.2">
      <c r="A201" s="14" t="s">
        <v>48</v>
      </c>
      <c r="B201" s="59" t="s">
        <v>396</v>
      </c>
      <c r="C201" s="59" t="s">
        <v>427</v>
      </c>
      <c r="D201" s="14" t="s">
        <v>428</v>
      </c>
    </row>
    <row r="202" spans="1:5" ht="15" customHeight="1" x14ac:dyDescent="0.2">
      <c r="A202" s="16" t="s">
        <v>429</v>
      </c>
      <c r="B202" s="26">
        <v>0.17</v>
      </c>
      <c r="C202" s="49">
        <f>Assumptions!B40</f>
        <v>0.17</v>
      </c>
      <c r="D202" s="13" t="s">
        <v>430</v>
      </c>
    </row>
    <row r="203" spans="1:5" ht="15" customHeight="1" x14ac:dyDescent="0.2">
      <c r="A203" s="16" t="s">
        <v>431</v>
      </c>
      <c r="B203" s="26">
        <v>0.22</v>
      </c>
      <c r="C203" s="49">
        <f>Assumptions!B41</f>
        <v>0.2</v>
      </c>
      <c r="D203" s="13" t="s">
        <v>432</v>
      </c>
    </row>
    <row r="204" spans="1:5" ht="15" customHeight="1" x14ac:dyDescent="0.2">
      <c r="A204" s="16" t="s">
        <v>433</v>
      </c>
      <c r="B204" s="26">
        <v>0.25</v>
      </c>
      <c r="C204" s="49">
        <f>Assumptions!B42</f>
        <v>0.22</v>
      </c>
      <c r="D204" s="13" t="s">
        <v>432</v>
      </c>
    </row>
    <row r="205" spans="1:5" ht="15" customHeight="1" x14ac:dyDescent="0.2">
      <c r="A205" s="16" t="s">
        <v>434</v>
      </c>
      <c r="B205" s="26">
        <v>0.28000000000000003</v>
      </c>
      <c r="C205" s="49">
        <f>Assumptions!B43</f>
        <v>0.25</v>
      </c>
      <c r="D205" s="13" t="s">
        <v>432</v>
      </c>
    </row>
    <row r="206" spans="1:5" ht="15" customHeight="1" x14ac:dyDescent="0.2">
      <c r="A206" s="16" t="s">
        <v>435</v>
      </c>
      <c r="B206" s="26">
        <v>0.25</v>
      </c>
      <c r="C206" s="49">
        <f>Assumptions!B44</f>
        <v>0.22</v>
      </c>
      <c r="D206" s="13" t="s">
        <v>432</v>
      </c>
    </row>
    <row r="207" spans="1:5" ht="15" customHeight="1" x14ac:dyDescent="0.2">
      <c r="A207" s="16" t="s">
        <v>436</v>
      </c>
      <c r="B207" s="26">
        <v>0.2</v>
      </c>
      <c r="C207" s="87">
        <f>Assumptions!B45</f>
        <v>0.18</v>
      </c>
      <c r="D207" s="13" t="s">
        <v>432</v>
      </c>
    </row>
    <row r="208" spans="1:5" ht="15" customHeight="1" x14ac:dyDescent="0.2">
      <c r="A208" s="16" t="s">
        <v>437</v>
      </c>
      <c r="B208" s="26">
        <v>0.14000000000000001</v>
      </c>
      <c r="C208" s="87">
        <f>Assumptions!B46</f>
        <v>0.12</v>
      </c>
      <c r="D208" s="13" t="s">
        <v>432</v>
      </c>
    </row>
    <row r="209" spans="1:4" ht="15" customHeight="1" x14ac:dyDescent="0.2">
      <c r="A209" s="16" t="s">
        <v>438</v>
      </c>
      <c r="B209" s="26">
        <v>0.1</v>
      </c>
      <c r="C209" s="87">
        <f>Assumptions!B47</f>
        <v>0.08</v>
      </c>
      <c r="D209" s="13" t="s">
        <v>432</v>
      </c>
    </row>
    <row r="210" spans="1:4" ht="15" customHeight="1" x14ac:dyDescent="0.2">
      <c r="A210" s="16" t="s">
        <v>439</v>
      </c>
      <c r="B210" s="26">
        <v>0.28000000000000003</v>
      </c>
      <c r="C210" s="49">
        <f>Assumptions!B54</f>
        <v>0.24</v>
      </c>
      <c r="D210" s="13" t="s">
        <v>440</v>
      </c>
    </row>
    <row r="211" spans="1:4" ht="15" customHeight="1" x14ac:dyDescent="0.2">
      <c r="A211" s="16" t="s">
        <v>441</v>
      </c>
      <c r="B211" s="26">
        <v>0.33</v>
      </c>
      <c r="C211" s="49">
        <f>Assumptions!B55</f>
        <v>0.27</v>
      </c>
      <c r="D211" s="13" t="s">
        <v>442</v>
      </c>
    </row>
    <row r="212" spans="1:4" ht="15" customHeight="1" x14ac:dyDescent="0.2">
      <c r="A212" s="16" t="s">
        <v>443</v>
      </c>
      <c r="B212" s="26">
        <v>0.38</v>
      </c>
      <c r="C212" s="49">
        <f>Assumptions!B56</f>
        <v>0.3</v>
      </c>
      <c r="D212" s="13" t="s">
        <v>444</v>
      </c>
    </row>
    <row r="213" spans="1:4" ht="15" customHeight="1" x14ac:dyDescent="0.2">
      <c r="A213" s="16" t="s">
        <v>445</v>
      </c>
      <c r="B213" s="26">
        <v>0.43</v>
      </c>
      <c r="C213" s="49">
        <f>Assumptions!B57</f>
        <v>0.33</v>
      </c>
      <c r="D213" s="13" t="s">
        <v>446</v>
      </c>
    </row>
    <row r="214" spans="1:4" ht="15" customHeight="1" x14ac:dyDescent="0.2">
      <c r="A214" s="16" t="s">
        <v>447</v>
      </c>
      <c r="B214" s="26">
        <v>0.47</v>
      </c>
      <c r="C214" s="49">
        <f>Assumptions!B58</f>
        <v>0.35</v>
      </c>
      <c r="D214" s="13" t="s">
        <v>448</v>
      </c>
    </row>
    <row r="215" spans="1:4" ht="15" customHeight="1" x14ac:dyDescent="0.2">
      <c r="A215" s="16" t="s">
        <v>449</v>
      </c>
      <c r="B215" s="26">
        <v>0.51</v>
      </c>
      <c r="C215" s="49">
        <f>Assumptions!B59</f>
        <v>0.38</v>
      </c>
      <c r="D215" s="13" t="s">
        <v>450</v>
      </c>
    </row>
    <row r="216" spans="1:4" ht="15" customHeight="1" x14ac:dyDescent="0.2">
      <c r="A216" s="16" t="s">
        <v>451</v>
      </c>
      <c r="B216" s="26">
        <v>0.6</v>
      </c>
      <c r="C216" s="49">
        <f>Assumptions!B60</f>
        <v>0.42</v>
      </c>
      <c r="D216" s="13" t="s">
        <v>452</v>
      </c>
    </row>
    <row r="217" spans="1:4" ht="15" customHeight="1" x14ac:dyDescent="0.2">
      <c r="A217" s="16" t="s">
        <v>453</v>
      </c>
      <c r="B217" s="26">
        <v>0.52</v>
      </c>
      <c r="C217" s="49">
        <f>Assumptions!B61</f>
        <v>0.65</v>
      </c>
      <c r="D217" s="13" t="s">
        <v>454</v>
      </c>
    </row>
    <row r="218" spans="1:4" ht="15" customHeight="1" x14ac:dyDescent="0.2">
      <c r="A218" s="16" t="s">
        <v>455</v>
      </c>
      <c r="B218" s="26">
        <v>0.42</v>
      </c>
      <c r="C218" s="49">
        <f>Assumptions!B62</f>
        <v>0.55000000000000004</v>
      </c>
      <c r="D218" s="13" t="s">
        <v>456</v>
      </c>
    </row>
    <row r="219" spans="1:4" ht="15" customHeight="1" x14ac:dyDescent="0.2">
      <c r="A219" s="16" t="s">
        <v>457</v>
      </c>
      <c r="B219" s="26">
        <v>0.34</v>
      </c>
      <c r="C219" s="49">
        <f>Assumptions!B63</f>
        <v>0.48</v>
      </c>
      <c r="D219" s="13" t="s">
        <v>458</v>
      </c>
    </row>
    <row r="220" spans="1:4" ht="15" customHeight="1" x14ac:dyDescent="0.2">
      <c r="A220" s="16" t="s">
        <v>459</v>
      </c>
      <c r="B220" s="26">
        <v>0.28000000000000003</v>
      </c>
      <c r="C220" s="49">
        <f>Assumptions!B64</f>
        <v>0.42</v>
      </c>
      <c r="D220" s="13" t="s">
        <v>460</v>
      </c>
    </row>
    <row r="221" spans="1:4" ht="15" customHeight="1" x14ac:dyDescent="0.2">
      <c r="A221" s="16" t="s">
        <v>461</v>
      </c>
      <c r="B221" s="26">
        <v>0.24</v>
      </c>
      <c r="C221" s="49">
        <f>Assumptions!B65</f>
        <v>0.38</v>
      </c>
      <c r="D221" s="13" t="s">
        <v>462</v>
      </c>
    </row>
    <row r="222" spans="1:4" ht="15" customHeight="1" x14ac:dyDescent="0.2">
      <c r="A222" s="16" t="s">
        <v>463</v>
      </c>
      <c r="B222" s="26">
        <v>0.22</v>
      </c>
      <c r="C222" s="49">
        <f>Assumptions!B66</f>
        <v>0.3</v>
      </c>
      <c r="D222" s="13" t="s">
        <v>464</v>
      </c>
    </row>
    <row r="223" spans="1:4" ht="15" customHeight="1" x14ac:dyDescent="0.2">
      <c r="A223" s="16" t="s">
        <v>465</v>
      </c>
      <c r="B223" s="26">
        <v>0.2</v>
      </c>
      <c r="C223" s="49">
        <f>Assumptions!B67</f>
        <v>0.25</v>
      </c>
      <c r="D223" s="13" t="s">
        <v>466</v>
      </c>
    </row>
    <row r="224" spans="1:4" ht="15" customHeight="1" x14ac:dyDescent="0.2">
      <c r="A224" s="16" t="s">
        <v>467</v>
      </c>
      <c r="B224" s="26">
        <v>0.1</v>
      </c>
      <c r="C224" s="49">
        <f>Assumptions!B68</f>
        <v>0.1</v>
      </c>
      <c r="D224" s="13" t="s">
        <v>432</v>
      </c>
    </row>
    <row r="225" spans="1:4" ht="15" customHeight="1" x14ac:dyDescent="0.2">
      <c r="A225" s="16" t="s">
        <v>468</v>
      </c>
      <c r="B225" s="26">
        <v>0.1</v>
      </c>
      <c r="C225" s="49">
        <f>Assumptions!B69</f>
        <v>0.1</v>
      </c>
      <c r="D225" s="13" t="s">
        <v>432</v>
      </c>
    </row>
    <row r="226" spans="1:4" ht="15" customHeight="1" x14ac:dyDescent="0.2">
      <c r="A226" s="16" t="s">
        <v>469</v>
      </c>
      <c r="B226" s="26">
        <v>0.03</v>
      </c>
      <c r="C226" s="49">
        <f>Assumptions!B70</f>
        <v>0.03</v>
      </c>
      <c r="D226" s="13" t="s">
        <v>432</v>
      </c>
    </row>
    <row r="227" spans="1:4" ht="15" customHeight="1" x14ac:dyDescent="0.2">
      <c r="A227" s="16" t="s">
        <v>470</v>
      </c>
      <c r="B227" s="26">
        <v>0.04</v>
      </c>
      <c r="C227" s="49">
        <f>Assumptions!B72</f>
        <v>0.05</v>
      </c>
      <c r="D227" s="13" t="s">
        <v>471</v>
      </c>
    </row>
    <row r="228" spans="1:4" ht="15" customHeight="1" x14ac:dyDescent="0.2">
      <c r="A228" s="16" t="s">
        <v>472</v>
      </c>
      <c r="B228" s="26">
        <v>0</v>
      </c>
      <c r="C228" s="49">
        <f>Assumptions!B73</f>
        <v>0</v>
      </c>
      <c r="D228" s="13" t="s">
        <v>473</v>
      </c>
    </row>
    <row r="229" spans="1:4" ht="15" customHeight="1" x14ac:dyDescent="0.2">
      <c r="A229" s="16" t="s">
        <v>474</v>
      </c>
      <c r="B229" s="22">
        <v>1</v>
      </c>
      <c r="C229" s="49">
        <f>Assumptions!B81</f>
        <v>2.2000000000000002</v>
      </c>
      <c r="D229" s="13" t="s">
        <v>475</v>
      </c>
    </row>
    <row r="230" spans="1:4" ht="15" customHeight="1" x14ac:dyDescent="0.2">
      <c r="A230" s="16" t="s">
        <v>167</v>
      </c>
      <c r="B230" s="22">
        <v>0</v>
      </c>
      <c r="C230" s="87">
        <f>Assumptions!B82</f>
        <v>0.03</v>
      </c>
      <c r="D230" s="13" t="s">
        <v>476</v>
      </c>
    </row>
    <row r="231" spans="1:4" ht="15" customHeight="1" x14ac:dyDescent="0.2">
      <c r="A231" s="16" t="s">
        <v>112</v>
      </c>
      <c r="B231" s="26">
        <v>4.2999999999999997E-2</v>
      </c>
      <c r="C231" s="49">
        <f>Assumptions!B79</f>
        <v>4.2999999999999997E-2</v>
      </c>
      <c r="D231" s="13" t="s">
        <v>477</v>
      </c>
    </row>
    <row r="232" spans="1:4" ht="15" customHeight="1" x14ac:dyDescent="0.2">
      <c r="A232" s="16" t="s">
        <v>114</v>
      </c>
      <c r="B232" s="26">
        <v>5.5E-2</v>
      </c>
      <c r="C232" s="87">
        <f>Assumptions!B80</f>
        <v>5.5E-2</v>
      </c>
      <c r="D232" s="13" t="s">
        <v>477</v>
      </c>
    </row>
    <row r="233" spans="1:4" ht="15" customHeight="1" x14ac:dyDescent="0.2">
      <c r="A233" s="71" t="s">
        <v>478</v>
      </c>
      <c r="B233" s="19">
        <f>B231+B229*B232+B230</f>
        <v>9.8000000000000004E-2</v>
      </c>
      <c r="C233" s="49">
        <f>Assumptions!B83</f>
        <v>0.19400000000000001</v>
      </c>
      <c r="D233" s="13" t="s">
        <v>479</v>
      </c>
    </row>
    <row r="234" spans="1:4" ht="15" customHeight="1" x14ac:dyDescent="0.2">
      <c r="A234" s="16" t="s">
        <v>124</v>
      </c>
      <c r="B234" s="26">
        <v>0.95</v>
      </c>
      <c r="C234" s="87">
        <f>Assumptions!B85</f>
        <v>0.85</v>
      </c>
      <c r="D234" s="13" t="s">
        <v>480</v>
      </c>
    </row>
    <row r="235" spans="1:4" ht="15" customHeight="1" x14ac:dyDescent="0.2">
      <c r="A235" s="16" t="s">
        <v>126</v>
      </c>
      <c r="B235" s="19">
        <f>1-B234</f>
        <v>5.0000000000000044E-2</v>
      </c>
      <c r="D235" s="13" t="s">
        <v>481</v>
      </c>
    </row>
    <row r="236" spans="1:4" ht="15" customHeight="1" x14ac:dyDescent="0.2">
      <c r="A236" s="16" t="s">
        <v>122</v>
      </c>
      <c r="B236" s="26">
        <v>0.06</v>
      </c>
      <c r="C236" s="87">
        <f>Assumptions!B84</f>
        <v>0.06</v>
      </c>
      <c r="D236" s="13" t="s">
        <v>482</v>
      </c>
    </row>
    <row r="237" spans="1:4" ht="15" customHeight="1" x14ac:dyDescent="0.2">
      <c r="A237" s="16" t="s">
        <v>483</v>
      </c>
      <c r="B237" s="26">
        <v>0.21</v>
      </c>
      <c r="C237" s="49">
        <f>Assumptions!B74</f>
        <v>0.21</v>
      </c>
      <c r="D237" s="13" t="s">
        <v>477</v>
      </c>
    </row>
    <row r="238" spans="1:4" ht="15" customHeight="1" x14ac:dyDescent="0.2">
      <c r="A238" s="71" t="s">
        <v>484</v>
      </c>
      <c r="B238" s="88">
        <f>B233*B234+B236*(1-B237)*B235</f>
        <v>9.5469999999999999E-2</v>
      </c>
      <c r="C238" s="49">
        <f>Assumptions!B87</f>
        <v>0.17201</v>
      </c>
      <c r="D238" s="13" t="s">
        <v>485</v>
      </c>
    </row>
    <row r="239" spans="1:4" ht="15" customHeight="1" x14ac:dyDescent="0.2">
      <c r="A239" s="16" t="s">
        <v>268</v>
      </c>
      <c r="B239" s="22">
        <v>0.04</v>
      </c>
      <c r="C239" s="49">
        <f>Assumptions!B92</f>
        <v>0.03</v>
      </c>
      <c r="D239" s="13" t="s">
        <v>486</v>
      </c>
    </row>
    <row r="240" spans="1:4" ht="15" customHeight="1" x14ac:dyDescent="0.2">
      <c r="A240" s="16" t="s">
        <v>487</v>
      </c>
      <c r="B240" s="89">
        <v>20</v>
      </c>
      <c r="C240" s="87">
        <f>Assumptions!B93</f>
        <v>15</v>
      </c>
      <c r="D240" s="13" t="s">
        <v>488</v>
      </c>
    </row>
    <row r="241" spans="1:4" ht="15" customHeight="1" x14ac:dyDescent="0.2">
      <c r="A241" s="16" t="s">
        <v>489</v>
      </c>
      <c r="B241" s="26">
        <v>0.35</v>
      </c>
      <c r="C241" s="49">
        <f>Assumptions!B94</f>
        <v>0.2</v>
      </c>
      <c r="D241" s="13" t="s">
        <v>490</v>
      </c>
    </row>
  </sheetData>
  <mergeCells count="11">
    <mergeCell ref="A200:E200"/>
    <mergeCell ref="A22:W22"/>
    <mergeCell ref="A28:W28"/>
    <mergeCell ref="A33:W33"/>
    <mergeCell ref="A41:H41"/>
    <mergeCell ref="A55:H55"/>
    <mergeCell ref="A1:W1"/>
    <mergeCell ref="A2:W2"/>
    <mergeCell ref="A4:W4"/>
    <mergeCell ref="A7:W7"/>
    <mergeCell ref="A16:W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DCF Model</vt:lpstr>
      <vt:lpstr>Revenue Bridge</vt:lpstr>
      <vt:lpstr>$10 Re-Rating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2026-04-16T02:40:37Z</dcterms:created>
  <dcterms:modified xsi:type="dcterms:W3CDTF">2026-04-16T03:05:39Z</dcterms:modified>
  <dc:language>en-US</dc:language>
</cp:coreProperties>
</file>