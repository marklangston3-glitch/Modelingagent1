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x"/>
    <numFmt numFmtId="168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48" customWidth="1" min="5" max="5"/>
  </cols>
  <sheetData>
    <row r="1">
      <c r="A1" s="1" t="inlineStr">
        <is>
          <t>TEM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TEM 10-K FY2025, SEC EDGAR CIK 0001717115)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531822</v>
      </c>
      <c r="C6" s="2" t="n">
        <v>693398</v>
      </c>
      <c r="D6" s="2" t="n">
        <v>1271789</v>
      </c>
      <c r="E6" t="inlineStr">
        <is>
          <t>Source: EDGAR RevenueFromContractWithCustomer</t>
        </is>
      </c>
    </row>
    <row r="7">
      <c r="A7" t="inlineStr">
        <is>
          <t>Cost of Revenue</t>
        </is>
      </c>
      <c r="B7" s="2" t="n">
        <v>340802</v>
      </c>
      <c r="C7" s="2" t="n">
        <v>479804</v>
      </c>
      <c r="D7" s="2" t="n">
        <v>619999</v>
      </c>
      <c r="E7" t="inlineStr">
        <is>
          <t>Derived: CostsAndExpenses − SG&amp;A − R&amp;D</t>
        </is>
      </c>
    </row>
    <row r="8">
      <c r="A8" t="inlineStr">
        <is>
          <t>Gross Profit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296760</v>
      </c>
      <c r="C10" s="2" t="n">
        <v>755351</v>
      </c>
      <c r="D10" s="2" t="n">
        <v>731738</v>
      </c>
      <c r="E10" t="inlineStr">
        <is>
          <t>Source: EDGAR GeneralAndAdministrativeExpense (incl SBC)</t>
        </is>
      </c>
    </row>
    <row r="11">
      <c r="A11" t="inlineStr">
        <is>
          <t>R&amp;D</t>
        </is>
      </c>
      <c r="B11" s="2" t="n">
        <v>90343</v>
      </c>
      <c r="C11" s="2" t="n">
        <v>149325</v>
      </c>
      <c r="D11" s="2" t="n">
        <v>172924</v>
      </c>
      <c r="E11" t="inlineStr">
        <is>
          <t>Source: EDGAR ResearchAndDevelopmentExpense</t>
        </is>
      </c>
    </row>
    <row r="12">
      <c r="A12" t="inlineStr">
        <is>
          <t>EBIT (Operating Loss)</t>
        </is>
      </c>
      <c r="B12" s="2" t="n">
        <v>-196083</v>
      </c>
      <c r="C12" s="2" t="n">
        <v>-691082</v>
      </c>
      <c r="D12" s="2" t="n">
        <v>-252872</v>
      </c>
      <c r="E12" t="inlineStr">
        <is>
          <t>Source: EDGAR OperatingIncomeLoss</t>
        </is>
      </c>
    </row>
    <row r="13">
      <c r="A13" t="inlineStr">
        <is>
          <t>D&amp;A</t>
        </is>
      </c>
      <c r="B13" s="2" t="n">
        <v>21279</v>
      </c>
      <c r="C13" s="2" t="n">
        <v>26356</v>
      </c>
      <c r="D13" s="2" t="n">
        <v>32054</v>
      </c>
      <c r="E13" t="inlineStr">
        <is>
          <t>Source: EDGAR DepreciationDepletionAndAmortization</t>
        </is>
      </c>
    </row>
    <row r="14">
      <c r="A14" t="inlineStr">
        <is>
          <t>Stock-Based Comp</t>
        </is>
      </c>
      <c r="B14" s="2" t="n">
        <v>0</v>
      </c>
      <c r="C14" s="2" t="n">
        <v>534138</v>
      </c>
      <c r="D14" s="2" t="n">
        <v>124747</v>
      </c>
      <c r="E14" t="inlineStr">
        <is>
          <t>Source: EDGAR AllocatedShareBasedCompensationExpense</t>
        </is>
      </c>
    </row>
    <row r="15">
      <c r="A15" t="inlineStr">
        <is>
          <t>CapEx (PP&amp;E)</t>
        </is>
      </c>
      <c r="B15" s="2" t="n">
        <v>34608</v>
      </c>
      <c r="C15" s="2" t="n">
        <v>22121</v>
      </c>
      <c r="D15" s="2" t="n">
        <v>21049</v>
      </c>
      <c r="E15" t="inlineStr">
        <is>
          <t>Source: EDGAR PaymentsToAcquirePropertyPlantAndEquipment</t>
        </is>
      </c>
    </row>
    <row r="16">
      <c r="A16" t="inlineStr">
        <is>
          <t>Capitalized Software</t>
        </is>
      </c>
      <c r="B16" s="2" t="n">
        <v>6137</v>
      </c>
      <c r="C16" s="2" t="n">
        <v>4292</v>
      </c>
      <c r="D16" s="2" t="n">
        <v>5535</v>
      </c>
      <c r="E16" t="inlineStr">
        <is>
          <t>Source: EDGAR CapitalizedComputerSoftwareAdditions</t>
        </is>
      </c>
    </row>
    <row r="17">
      <c r="A17" t="inlineStr">
        <is>
          <t>Interest Expense</t>
        </is>
      </c>
      <c r="B17" s="2" t="n">
        <v>46869</v>
      </c>
      <c r="C17" s="2" t="n">
        <v>53653</v>
      </c>
      <c r="D17" s="2" t="n">
        <v>70267</v>
      </c>
      <c r="E17" t="inlineStr">
        <is>
          <t>Source: EDGAR InterestExpenseDebt</t>
        </is>
      </c>
    </row>
    <row r="18">
      <c r="A18" t="inlineStr">
        <is>
          <t>Interest Income</t>
        </is>
      </c>
      <c r="B18" s="2" t="n">
        <v>7601</v>
      </c>
      <c r="C18" s="2" t="n">
        <v>11084</v>
      </c>
      <c r="D18" s="2" t="n">
        <v>12628</v>
      </c>
      <c r="E18" t="inlineStr">
        <is>
          <t>Source: EDGAR InvestmentIncomeInterest</t>
        </is>
      </c>
    </row>
    <row r="19">
      <c r="A19" t="inlineStr">
        <is>
          <t>Net Loss</t>
        </is>
      </c>
      <c r="B19" s="2" t="n">
        <v>-214118</v>
      </c>
      <c r="C19" s="2" t="n">
        <v>-705809</v>
      </c>
      <c r="D19" s="2" t="n">
        <v>-245028</v>
      </c>
      <c r="E19" t="inlineStr">
        <is>
          <t>Source: EDGAR NetIncomeLoss</t>
        </is>
      </c>
    </row>
    <row r="22">
      <c r="A22" s="1" t="inlineStr">
        <is>
          <t>A2.  BALANCE SHEET SNAPSHOT  (Source: TEM 10-K FY2025, SEC EDGAR)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340954</v>
      </c>
      <c r="C24" s="2" t="n">
        <v>604787</v>
      </c>
      <c r="E24" t="inlineStr">
        <is>
          <t>EDGAR CashAndCashEquivalentsAtCarryingValue</t>
        </is>
      </c>
    </row>
    <row r="25">
      <c r="A25" t="inlineStr">
        <is>
          <t>AFS Investments (Current)</t>
        </is>
      </c>
      <c r="B25" s="2" t="n">
        <v>0</v>
      </c>
      <c r="C25" s="2" t="n">
        <v>0</v>
      </c>
      <c r="E25" t="inlineStr">
        <is>
          <t>TEM: none reported</t>
        </is>
      </c>
    </row>
    <row r="26">
      <c r="A26" t="inlineStr">
        <is>
          <t>AFS Investments (Non-Current)</t>
        </is>
      </c>
      <c r="B26" s="2" t="n">
        <v>0</v>
      </c>
      <c r="C26" s="2" t="n">
        <v>0</v>
      </c>
      <c r="E26" t="inlineStr">
        <is>
          <t>TEM: none reported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154819</v>
      </c>
      <c r="C28" s="2" t="n">
        <v>311170</v>
      </c>
      <c r="E28" t="inlineStr">
        <is>
          <t>EDGAR AccountsReceivableNetCurrent</t>
        </is>
      </c>
    </row>
    <row r="29">
      <c r="A29" t="inlineStr">
        <is>
          <t>Goodwill</t>
        </is>
      </c>
      <c r="B29" s="2" t="n">
        <v>73343</v>
      </c>
      <c r="C29" s="2" t="n">
        <v>470211</v>
      </c>
      <c r="E29" t="inlineStr">
        <is>
          <t>EDGAR Goodwill (inc. Ambry Genetics acq. FY2025)</t>
        </is>
      </c>
    </row>
    <row r="30">
      <c r="A30" t="inlineStr">
        <is>
          <t>Intangibles, net</t>
        </is>
      </c>
      <c r="B30" s="2" t="n">
        <v>11716</v>
      </c>
      <c r="C30" s="2" t="n">
        <v>355253</v>
      </c>
      <c r="E30" t="inlineStr">
        <is>
          <t>EDGAR IntangibleAssetsNetExcludingGoodwill</t>
        </is>
      </c>
    </row>
    <row r="31">
      <c r="A31" t="inlineStr">
        <is>
          <t>Total Debt (Convertible Notes)</t>
        </is>
      </c>
      <c r="B31" s="2" t="n">
        <v>168192</v>
      </c>
      <c r="C31" s="2" t="n">
        <v>208672</v>
      </c>
      <c r="E31" t="inlineStr">
        <is>
          <t>EDGAR ConvertibleDebtNoncurrent</t>
        </is>
      </c>
    </row>
    <row r="32">
      <c r="A32" t="inlineStr">
        <is>
          <t>Debt Used in Bridge</t>
        </is>
      </c>
      <c r="B32">
        <f>B31</f>
        <v/>
      </c>
      <c r="C32">
        <f>C31</f>
        <v/>
      </c>
      <c r="E32" t="inlineStr">
        <is>
          <t>Convertible notes; no near-term forced conversion</t>
        </is>
      </c>
    </row>
    <row r="33">
      <c r="A33" t="inlineStr">
        <is>
          <t>Shares Outstanding</t>
        </is>
      </c>
      <c r="B33" s="2" t="n">
        <v>119849000</v>
      </c>
      <c r="C33" s="2" t="n">
        <v>174264000</v>
      </c>
      <c r="E33" t="inlineStr">
        <is>
          <t>EDGAR WeightedAverageDilutedShares × 1000</t>
        </is>
      </c>
    </row>
    <row r="34">
      <c r="A34" t="inlineStr">
        <is>
          <t>Shares Used in Bridge</t>
        </is>
      </c>
      <c r="B34">
        <f>B33</f>
        <v/>
      </c>
      <c r="C34">
        <f>C33</f>
        <v/>
      </c>
      <c r="E34" t="inlineStr">
        <is>
          <t>Formula: use FY2025 diluted count</t>
        </is>
      </c>
    </row>
    <row r="35">
      <c r="A35" t="inlineStr">
        <is>
          <t>Federal NOL (DTA proxy, $K)</t>
        </is>
      </c>
      <c r="C35" s="2" t="n">
        <v>727301</v>
      </c>
      <c r="E35" t="inlineStr">
        <is>
          <t>EDGAR DeferredTaxAssetsGross FY2025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0.35</v>
      </c>
      <c r="C40" s="4" t="n">
        <v>0.45</v>
      </c>
      <c r="D40" s="4" t="n">
        <v>0.2</v>
      </c>
      <c r="E40" t="inlineStr">
        <is>
          <t>Moderation from 83% FY2025; Ambry now integrated</t>
        </is>
      </c>
    </row>
    <row r="41">
      <c r="A41" t="inlineStr">
        <is>
          <t>FY2027 Revenue Growth Rate</t>
        </is>
      </c>
      <c r="B41" s="4" t="n">
        <v>0.3</v>
      </c>
      <c r="C41" s="4" t="n">
        <v>0.38</v>
      </c>
      <c r="D41" s="4" t="n">
        <v>0.15</v>
      </c>
      <c r="E41" t="inlineStr">
        <is>
          <t>Data platform + genomics ramp</t>
        </is>
      </c>
    </row>
    <row r="42">
      <c r="A42" t="inlineStr">
        <is>
          <t>FY2028 Revenue Growth Rate</t>
        </is>
      </c>
      <c r="B42" s="4" t="n">
        <v>0.25</v>
      </c>
      <c r="C42" s="4" t="n">
        <v>0.32</v>
      </c>
      <c r="D42" s="4" t="n">
        <v>0.12</v>
      </c>
      <c r="E42" t="inlineStr">
        <is>
          <t>Continued AI/oncology expansion</t>
        </is>
      </c>
    </row>
    <row r="43">
      <c r="A43" t="inlineStr">
        <is>
          <t>FY2029 Revenue Growth Rate</t>
        </is>
      </c>
      <c r="B43" s="4" t="n">
        <v>0.22</v>
      </c>
      <c r="C43" s="4" t="n">
        <v>0.28</v>
      </c>
      <c r="D43" s="4" t="n">
        <v>0.1</v>
      </c>
      <c r="E43" t="inlineStr">
        <is>
          <t>Scale + payer contract wins</t>
        </is>
      </c>
    </row>
    <row r="44">
      <c r="A44" t="inlineStr">
        <is>
          <t>FY2030 Revenue Growth Rate</t>
        </is>
      </c>
      <c r="B44" s="4" t="n">
        <v>0.2</v>
      </c>
      <c r="C44" s="4" t="n">
        <v>0.25</v>
      </c>
      <c r="D44" s="4" t="n">
        <v>0.08</v>
      </c>
      <c r="E44" t="inlineStr">
        <is>
          <t>TAM penetration; platform maturation</t>
        </is>
      </c>
    </row>
    <row r="45">
      <c r="A45" t="inlineStr">
        <is>
          <t>FY2031–2035 Revenue CAGR</t>
        </is>
      </c>
      <c r="B45" s="4" t="n">
        <v>0.17</v>
      </c>
      <c r="C45" s="4" t="n">
        <v>0.22</v>
      </c>
      <c r="D45" s="4" t="n">
        <v>0.08</v>
      </c>
      <c r="E45" t="inlineStr">
        <is>
          <t>Maturing growth; international entry</t>
        </is>
      </c>
    </row>
    <row r="46">
      <c r="A46" t="inlineStr">
        <is>
          <t>FY2036–2040 Revenue CAGR</t>
        </is>
      </c>
      <c r="B46" s="4" t="n">
        <v>0.11</v>
      </c>
      <c r="C46" s="4" t="n">
        <v>0.15</v>
      </c>
      <c r="D46" s="4" t="n">
        <v>0.06</v>
      </c>
      <c r="E46" t="inlineStr">
        <is>
          <t>Large base; moderate compounding</t>
        </is>
      </c>
    </row>
    <row r="47">
      <c r="A47" t="inlineStr">
        <is>
          <t>FY2041–2045 Revenue CAGR</t>
        </is>
      </c>
      <c r="B47" s="4" t="n">
        <v>0.07000000000000001</v>
      </c>
      <c r="C47" s="4" t="n">
        <v>0.1</v>
      </c>
      <c r="D47" s="4" t="n">
        <v>0.04</v>
      </c>
      <c r="E47" t="inlineStr">
        <is>
          <t>Terminal approach; long-run normalization</t>
        </is>
      </c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0.53</v>
      </c>
      <c r="C54" s="6" t="n">
        <v>0.57</v>
      </c>
      <c r="D54" s="6" t="n">
        <v>0.48</v>
      </c>
      <c r="E54" t="inlineStr">
        <is>
          <t>FY2025=51.2%; Ambry + AI platform scale</t>
        </is>
      </c>
    </row>
    <row r="55">
      <c r="A55" t="inlineStr">
        <is>
          <t>Gross Margin % — FY2027</t>
        </is>
      </c>
      <c r="B55" s="6" t="n">
        <v>0.5600000000000001</v>
      </c>
      <c r="C55" s="6" t="n">
        <v>0.6</v>
      </c>
      <c r="D55" s="6" t="n">
        <v>0.5</v>
      </c>
      <c r="E55" t="inlineStr">
        <is>
          <t>Platform mix shift; sequencing cost decline</t>
        </is>
      </c>
    </row>
    <row r="56">
      <c r="A56" t="inlineStr">
        <is>
          <t>Gross Margin % — FY2028</t>
        </is>
      </c>
      <c r="B56" s="6" t="n">
        <v>0.59</v>
      </c>
      <c r="C56" s="6" t="n">
        <v>0.63</v>
      </c>
      <c r="D56" s="6" t="n">
        <v>0.52</v>
      </c>
      <c r="E56" t="inlineStr">
        <is>
          <t>Software-driven revenue grows faster</t>
        </is>
      </c>
    </row>
    <row r="57">
      <c r="A57" t="inlineStr">
        <is>
          <t>Gross Margin % — FY2029</t>
        </is>
      </c>
      <c r="B57" s="6" t="n">
        <v>0.62</v>
      </c>
      <c r="C57" s="6" t="n">
        <v>0.66</v>
      </c>
      <c r="D57" s="6" t="n">
        <v>0.54</v>
      </c>
      <c r="E57" t="inlineStr">
        <is>
          <t>Scale economics</t>
        </is>
      </c>
    </row>
    <row r="58">
      <c r="A58" t="inlineStr">
        <is>
          <t>Gross Margin % — FY2030</t>
        </is>
      </c>
      <c r="B58" s="6" t="n">
        <v>0.64</v>
      </c>
      <c r="C58" s="6" t="n">
        <v>0.6899999999999999</v>
      </c>
      <c r="D58" s="6" t="n">
        <v>0.5600000000000001</v>
      </c>
      <c r="E58" t="inlineStr">
        <is>
          <t>Mature platform mix</t>
        </is>
      </c>
    </row>
    <row r="59">
      <c r="A59" t="inlineStr">
        <is>
          <t>Gross Margin % — FY2031–35</t>
        </is>
      </c>
      <c r="B59" s="6" t="n">
        <v>0.67</v>
      </c>
      <c r="C59" s="6" t="n">
        <v>0.72</v>
      </c>
      <c r="D59" s="6" t="n">
        <v>0.58</v>
      </c>
      <c r="E59" t="inlineStr">
        <is>
          <t>Long-run target; health-AI SaaS peers 65–75%</t>
        </is>
      </c>
    </row>
    <row r="60">
      <c r="A60" t="inlineStr">
        <is>
          <t>Gross Margin % — FY2036–45</t>
        </is>
      </c>
      <c r="B60" s="6" t="n">
        <v>0.7</v>
      </c>
      <c r="C60" s="6" t="n">
        <v>0.76</v>
      </c>
      <c r="D60" s="6" t="n">
        <v>0.6</v>
      </c>
      <c r="E60" t="inlineStr">
        <is>
          <t>Terminal gross margin</t>
        </is>
      </c>
    </row>
    <row r="61">
      <c r="A61" t="inlineStr">
        <is>
          <t>SG&amp;A as % Revenue — FY2026</t>
        </is>
      </c>
      <c r="B61" s="6" t="n">
        <v>0.48</v>
      </c>
      <c r="C61" s="6" t="n">
        <v>0.42</v>
      </c>
      <c r="D61" s="6" t="n">
        <v>0.5600000000000001</v>
      </c>
      <c r="E61" t="inlineStr">
        <is>
          <t>FY2025=57.5% (incl SBC); heavy sales investment</t>
        </is>
      </c>
    </row>
    <row r="62">
      <c r="A62" t="inlineStr">
        <is>
          <t>SG&amp;A as % Revenue — FY2027</t>
        </is>
      </c>
      <c r="B62" s="6" t="n">
        <v>0.42</v>
      </c>
      <c r="C62" s="6" t="n">
        <v>0.36</v>
      </c>
      <c r="D62" s="6" t="n">
        <v>0.52</v>
      </c>
      <c r="E62" t="inlineStr">
        <is>
          <t>Operating leverage begins</t>
        </is>
      </c>
    </row>
    <row r="63">
      <c r="A63" t="inlineStr">
        <is>
          <t>SG&amp;A as % Revenue — FY2028</t>
        </is>
      </c>
      <c r="B63" s="6" t="n">
        <v>0.37</v>
      </c>
      <c r="C63" s="6" t="n">
        <v>0.31</v>
      </c>
      <c r="D63" s="6" t="n">
        <v>0.47</v>
      </c>
      <c r="E63" t="inlineStr"/>
    </row>
    <row r="64">
      <c r="A64" t="inlineStr">
        <is>
          <t>SG&amp;A as % Revenue — FY2029</t>
        </is>
      </c>
      <c r="B64" s="6" t="n">
        <v>0.33</v>
      </c>
      <c r="C64" s="6" t="n">
        <v>0.27</v>
      </c>
      <c r="D64" s="6" t="n">
        <v>0.43</v>
      </c>
      <c r="E64" t="inlineStr"/>
    </row>
    <row r="65">
      <c r="A65" t="inlineStr">
        <is>
          <t>SG&amp;A as % Revenue — FY2030</t>
        </is>
      </c>
      <c r="B65" s="6" t="n">
        <v>0.28</v>
      </c>
      <c r="C65" s="6" t="n">
        <v>0.22</v>
      </c>
      <c r="D65" s="6" t="n">
        <v>0.4</v>
      </c>
      <c r="E65" t="inlineStr"/>
    </row>
    <row r="66">
      <c r="A66" t="inlineStr">
        <is>
          <t>SG&amp;A as % Revenue — FY2031–35</t>
        </is>
      </c>
      <c r="B66" s="6" t="n">
        <v>0.22</v>
      </c>
      <c r="C66" s="6" t="n">
        <v>0.17</v>
      </c>
      <c r="D66" s="6" t="n">
        <v>0.34</v>
      </c>
      <c r="E66" t="inlineStr">
        <is>
          <t>Maturing cost structure</t>
        </is>
      </c>
    </row>
    <row r="67">
      <c r="A67" t="inlineStr">
        <is>
          <t>SG&amp;A as % Revenue — FY2036–45</t>
        </is>
      </c>
      <c r="B67" s="6" t="n">
        <v>0.18</v>
      </c>
      <c r="C67" s="6" t="n">
        <v>0.13</v>
      </c>
      <c r="D67" s="6" t="n">
        <v>0.28</v>
      </c>
      <c r="E67" t="inlineStr">
        <is>
          <t>Terminal SG&amp;A</t>
        </is>
      </c>
    </row>
    <row r="68">
      <c r="A68" t="inlineStr">
        <is>
          <t>R&amp;D as % Revenue — All Years</t>
        </is>
      </c>
      <c r="B68" s="6" t="n">
        <v>0.11</v>
      </c>
      <c r="C68" s="6" t="n">
        <v>0.13</v>
      </c>
      <c r="D68" s="6" t="n">
        <v>0.1</v>
      </c>
      <c r="E68" t="inlineStr">
        <is>
          <t>FY2025=13.6%; normalizing</t>
        </is>
      </c>
    </row>
    <row r="69">
      <c r="A69" t="inlineStr">
        <is>
          <t>D&amp;A as % Revenue — All Years</t>
        </is>
      </c>
      <c r="B69" s="6" t="n">
        <v>0.08</v>
      </c>
      <c r="C69" s="6" t="n">
        <v>0.07000000000000001</v>
      </c>
      <c r="D69" s="6" t="n">
        <v>0.09</v>
      </c>
      <c r="E69" t="inlineStr">
        <is>
          <t>Elevated post-Ambry intangible amort (~$355M)</t>
        </is>
      </c>
    </row>
    <row r="70">
      <c r="A70" t="inlineStr">
        <is>
          <t>CapEx as % Revenue — All Years</t>
        </is>
      </c>
      <c r="B70" s="6" t="n">
        <v>0.04</v>
      </c>
      <c r="C70" s="6" t="n">
        <v>0.03</v>
      </c>
      <c r="D70" s="6" t="n">
        <v>0.05</v>
      </c>
      <c r="E70" t="inlineStr">
        <is>
          <t>Asset-light; FY2025 CapEx+CapSW=2.1% rev</t>
        </is>
      </c>
    </row>
    <row r="71">
      <c r="A71" t="inlineStr">
        <is>
          <t>Stock-Based Comp as % Revenue</t>
        </is>
      </c>
      <c r="B71" s="6" t="n">
        <v>0.1</v>
      </c>
      <c r="C71" s="6" t="n">
        <v>0.09</v>
      </c>
      <c r="D71" s="6" t="n">
        <v>0.12</v>
      </c>
      <c r="E71" t="inlineStr">
        <is>
          <t>FY2025=9.8%; normalizing from IPO spike</t>
        </is>
      </c>
    </row>
    <row r="72">
      <c r="A72" t="inlineStr">
        <is>
          <t>Change in NWC as % Rev Change</t>
        </is>
      </c>
      <c r="B72" s="6" t="n">
        <v>0.06</v>
      </c>
      <c r="C72" s="6" t="n">
        <v>0.04</v>
      </c>
      <c r="D72" s="6" t="n">
        <v>0.09</v>
      </c>
      <c r="E72" t="inlineStr">
        <is>
          <t>AR-heavy model; genomics payer lag</t>
        </is>
      </c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0.02</v>
      </c>
      <c r="E73" t="inlineStr">
        <is>
          <t>$727M DTA / large NOL; ~0% cash tax 8–10 yrs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Treasury; as of model date May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 estimate</t>
        </is>
      </c>
    </row>
    <row r="81">
      <c r="A81" t="inlineStr">
        <is>
          <t>Beta (Levered)</t>
        </is>
      </c>
      <c r="B81" s="7" t="n">
        <v>1.7</v>
      </c>
      <c r="C81" s="7" t="n">
        <v>1.4</v>
      </c>
      <c r="D81" s="7" t="n">
        <v>2.1</v>
      </c>
      <c r="E81" t="inlineStr">
        <is>
          <t>Health-AI growth co.; post-IPO volatility</t>
        </is>
      </c>
    </row>
    <row r="82">
      <c r="A82" t="inlineStr">
        <is>
          <t>Size / Illiquidity Premium</t>
        </is>
      </c>
      <c r="B82" s="6" t="n">
        <v>0.02</v>
      </c>
      <c r="C82" s="6" t="n">
        <v>0.01</v>
      </c>
      <c r="D82" s="6" t="n">
        <v>0.03</v>
      </c>
      <c r="E82" t="inlineStr">
        <is>
          <t>Mid-cap premium; TEM mkt cap ~$8–12B range</t>
        </is>
      </c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0.055</v>
      </c>
      <c r="C84" s="6" t="n">
        <v>0.05</v>
      </c>
      <c r="D84" s="6" t="n">
        <v>0.065</v>
      </c>
      <c r="E84" t="inlineStr">
        <is>
          <t>Convertible notes; blended coupon est.</t>
        </is>
      </c>
    </row>
    <row r="85">
      <c r="A85" t="inlineStr">
        <is>
          <t>Weight of Equity</t>
        </is>
      </c>
      <c r="B85" s="6" t="n">
        <v>0.85</v>
      </c>
      <c r="C85" s="6" t="n">
        <v>0.9</v>
      </c>
      <c r="D85" s="6" t="n">
        <v>0.8</v>
      </c>
      <c r="E85" t="inlineStr">
        <is>
          <t>Post-debt capital structure</t>
        </is>
      </c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0.035</v>
      </c>
      <c r="C92" s="4" t="n">
        <v>0.04</v>
      </c>
      <c r="D92" s="4" t="n">
        <v>0.025</v>
      </c>
      <c r="E92" t="inlineStr">
        <is>
          <t>Must be &lt; WACC; healthcare AI long-run GDP+ growth</t>
        </is>
      </c>
    </row>
    <row r="93">
      <c r="A93" t="inlineStr">
        <is>
          <t>Terminal EV/EBITDA Multiple (cross-check)</t>
        </is>
      </c>
      <c r="B93" s="8" t="n">
        <v>20</v>
      </c>
      <c r="C93" s="8" t="n">
        <v>28</v>
      </c>
      <c r="D93" s="8" t="n">
        <v>12</v>
      </c>
      <c r="E93" t="inlineStr">
        <is>
          <t>Health-tech/AI software comps 15–30×</t>
        </is>
      </c>
    </row>
    <row r="94">
      <c r="A94" t="inlineStr">
        <is>
          <t>Terminal EBITDA Margin (for EV/EBITDA check)</t>
        </is>
      </c>
      <c r="B94" s="4" t="n">
        <v>0.28</v>
      </c>
      <c r="C94" s="4" t="n">
        <v>0.35</v>
      </c>
      <c r="D94" s="4" t="n">
        <v>0.18</v>
      </c>
      <c r="E94" t="inlineStr">
        <is>
          <t>Long-run Adj. EBITDA margin target</t>
        </is>
      </c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>
        <is>
          <t>Falls automatically if rates cut</t>
        </is>
      </c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>
        <is>
          <t>Market-wide; not controllable</t>
        </is>
      </c>
    </row>
    <row r="101">
      <c r="A101" t="inlineStr">
        <is>
          <t>Beta  ← #1 LEVER</t>
        </is>
      </c>
      <c r="B101">
        <f>B81</f>
        <v/>
      </c>
      <c r="C101" t="inlineStr">
        <is>
          <t>Currently 1.70</t>
        </is>
      </c>
      <c r="D101" s="3">
        <f>B81*B80*B85</f>
        <v/>
      </c>
      <c r="E101" t="inlineStr">
        <is>
          <t>Cut to 1.0–1.2 once FCF-positive, revenue diversified</t>
        </is>
      </c>
    </row>
    <row r="102">
      <c r="A102" t="inlineStr">
        <is>
          <t>Size/Illiquidity ← #2</t>
        </is>
      </c>
      <c r="B102">
        <f>B82</f>
        <v/>
      </c>
      <c r="C102" t="inlineStr">
        <is>
          <t>Currently 2%</t>
        </is>
      </c>
      <c r="D102" s="3">
        <f>B82*B85</f>
        <v/>
      </c>
      <c r="E102" t="inlineStr">
        <is>
          <t>Drops to 0% once mkt cap &gt;$5B consistently</t>
        </is>
      </c>
    </row>
    <row r="103">
      <c r="A103" t="inlineStr">
        <is>
          <t>Cost of Equity (Ke)</t>
        </is>
      </c>
      <c r="B103">
        <f>B83</f>
        <v/>
      </c>
      <c r="C103" t="inlineStr">
        <is>
          <t>Rf + Beta×ERP + Size</t>
        </is>
      </c>
      <c r="D103" s="3">
        <f>B83*B85</f>
        <v/>
      </c>
      <c r="E103" t="inlineStr">
        <is>
          <t>Currently ~16%; driven by Beta and Size</t>
        </is>
      </c>
    </row>
    <row r="104">
      <c r="A104" t="inlineStr">
        <is>
          <t>Cost of Debt (Kd after-tax)</t>
        </is>
      </c>
      <c r="B104">
        <f>B84</f>
        <v/>
      </c>
      <c r="C104" t="inlineStr">
        <is>
          <t>Conv. notes ~5.5%</t>
        </is>
      </c>
      <c r="D104" s="3">
        <f>B84*(1-D74)*B86</f>
        <v/>
      </c>
      <c r="E104" t="inlineStr">
        <is>
          <t>Minor — 15% weight, convertible structure</t>
        </is>
      </c>
    </row>
    <row r="105">
      <c r="A105" t="inlineStr">
        <is>
          <t>WACC  (Ke×We + Kd×(1−t)×Wd)</t>
        </is>
      </c>
      <c r="B105">
        <f>B87</f>
        <v/>
      </c>
      <c r="C105" t="inlineStr">
        <is>
          <t>Formula result</t>
        </is>
      </c>
      <c r="E105" t="inlineStr">
        <is>
          <t>PRIMARY: Beta 1.70→1.0 saves ~4pp; Size saves ~1.7pp</t>
        </is>
      </c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Pre-profit; heavy SBC; concentrated revenue</t>
        </is>
      </c>
    </row>
    <row r="110">
      <c r="A110" t="inlineStr">
        <is>
          <t>Stage 1 — FCF Break-Even</t>
        </is>
      </c>
      <c r="B110" s="9" t="n">
        <v>1.3</v>
      </c>
      <c r="C110" s="3" t="n">
        <v>0.015</v>
      </c>
      <c r="D110" s="3">
        <f>(B79+1.30*B80+0.015)*B85+B84*(1-D74)*B86</f>
        <v/>
      </c>
      <c r="E110" t="inlineStr">
        <is>
          <t>TEM FCF-positive ~FY2029E</t>
        </is>
      </c>
    </row>
    <row r="111">
      <c r="A111" t="inlineStr">
        <is>
          <t>Stage 2 — Proven Platform</t>
        </is>
      </c>
      <c r="B111" s="9" t="n">
        <v>1</v>
      </c>
      <c r="C111" s="3" t="n">
        <v>0.005</v>
      </c>
      <c r="D111" s="3">
        <f>(B79+1.00*B80+0.005)*B85+B84*(1-D74)*B86</f>
        <v/>
      </c>
      <c r="E111" t="inlineStr">
        <is>
          <t>ARR visible; genomics recurring revenue scaling</t>
        </is>
      </c>
    </row>
    <row r="112">
      <c r="A112" t="inlineStr">
        <is>
          <t>Stage 3 — Re-Rating ($50+)</t>
        </is>
      </c>
      <c r="B112" s="9" t="n">
        <v>0.8</v>
      </c>
      <c r="C112" s="3" t="n">
        <v>0</v>
      </c>
      <c r="D112" s="3">
        <f>(B79+0.80*B80+0.000)*B85+B84*(1-D74)*B86</f>
        <v/>
      </c>
      <c r="E112" t="inlineStr">
        <is>
          <t>Debt-free, profitable 3+ yrs, category leader</t>
        </is>
      </c>
    </row>
    <row r="113">
      <c r="A113" t="inlineStr">
        <is>
          <t>Blue Sky — Epic/PLTR Comp</t>
        </is>
      </c>
      <c r="B113" s="9" t="n">
        <v>0.6</v>
      </c>
      <c r="C113" s="3" t="n">
        <v>0</v>
      </c>
      <c r="D113" s="3">
        <f>(B79+0.60*B80+0.000)*B85+B84*(1-D74)*B86</f>
        <v/>
      </c>
      <c r="E113" t="inlineStr">
        <is>
          <t>Tempus moat/brand = health-AI infrastructure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TEM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3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  <c r="C51" t="inlineStr">
        <is>
          <t>If liquidity &gt; debt, TEM is net cash — add back in equity bridge</t>
        </is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4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4">
        <f>B167</f>
        <v/>
      </c>
      <c r="C71" s="14">
        <f>C167</f>
        <v/>
      </c>
      <c r="D71" s="14">
        <f>D167</f>
        <v/>
      </c>
    </row>
    <row r="74">
      <c r="A74" s="1" t="inlineStr">
        <is>
          <t>H.  SENSITIVITY: Implied Share Price ($)  —  WACC vs Terminal Growth Rate  (Base Case revenue/margins)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4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4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4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4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4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4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4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4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4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4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4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4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4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4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4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4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4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4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4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4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4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4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4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4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4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4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4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4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4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4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4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4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4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4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4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4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3">
      <c r="A163" t="inlineStr"/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4">
        <f>IF(Assumptions!C34&gt;0,(B166*1000)/Assumptions!C34,0)</f>
        <v/>
      </c>
      <c r="C167" s="14">
        <f>IF(Assumptions!C34&gt;0,(C166*1000)/Assumptions!C34,0)</f>
        <v/>
      </c>
      <c r="D167" s="14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2026-05-25T04:09:34Z</dcterms:created>
  <dcterms:modified xsi:type="dcterms:W3CDTF">2026-05-25T04:09:34Z</dcterms:modified>
</cp:coreProperties>
</file>