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1" fillId="2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2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RGTI — DCF Model Assumptions</t>
        </is>
      </c>
    </row>
    <row r="2">
      <c r="A2" t="inlineStr">
        <is>
          <t>All dollar inputs in $thousands  |  Blue = input  |  Black = formula  |  Yellow = key assumption</t>
        </is>
      </c>
    </row>
    <row r="4">
      <c r="A4" s="1" t="inlineStr">
        <is>
          <t>A.  HISTORICAL FINANCIAL DATA  (Source: RGTI 10-K FY2025, SEC EDGAR CIK 0001838359)</t>
        </is>
      </c>
    </row>
    <row r="5">
      <c r="A5" s="1" t="inlineStr">
        <is>
          <t>Line Item</t>
        </is>
      </c>
      <c r="B5" s="1" t="inlineStr">
        <is>
          <t>FY2023</t>
        </is>
      </c>
      <c r="C5" s="1" t="inlineStr">
        <is>
          <t>FY2024</t>
        </is>
      </c>
      <c r="D5" s="1" t="inlineStr">
        <is>
          <t>FY2025</t>
        </is>
      </c>
      <c r="E5" s="1" t="inlineStr">
        <is>
          <t>Notes</t>
        </is>
      </c>
    </row>
    <row r="6">
      <c r="A6" t="inlineStr">
        <is>
          <t>Revenue</t>
        </is>
      </c>
      <c r="B6" s="2" t="n">
        <v>12008</v>
      </c>
      <c r="C6" s="2" t="n">
        <v>10790</v>
      </c>
      <c r="D6" s="2" t="n">
        <v>7088</v>
      </c>
      <c r="E6" t="inlineStr">
        <is>
          <t>EDGAR RevenueFromContractWithCustomerIncludingAssessedTax</t>
        </is>
      </c>
    </row>
    <row r="7">
      <c r="A7" t="inlineStr">
        <is>
          <t>Cost of Revenue</t>
        </is>
      </c>
      <c r="B7" s="2" t="n">
        <v>2800</v>
      </c>
      <c r="C7" s="2" t="n">
        <v>5093</v>
      </c>
      <c r="D7" s="2" t="n">
        <v>5024</v>
      </c>
      <c r="E7" t="inlineStr">
        <is>
          <t>EDGAR CostOfRevenue</t>
        </is>
      </c>
    </row>
    <row r="8">
      <c r="A8" t="inlineStr">
        <is>
          <t>Gross Profit ($000s)</t>
        </is>
      </c>
      <c r="B8" s="2">
        <f>B6-B7</f>
        <v/>
      </c>
      <c r="C8" s="2">
        <f>C6-C7</f>
        <v/>
      </c>
      <c r="D8" s="2">
        <f>D6-D7</f>
        <v/>
      </c>
      <c r="E8" t="inlineStr">
        <is>
          <t>Formula: Revenue − CoR</t>
        </is>
      </c>
    </row>
    <row r="9">
      <c r="A9" t="inlineStr">
        <is>
          <t>Gross Margin %</t>
        </is>
      </c>
      <c r="B9" s="3">
        <f>B8/B6</f>
        <v/>
      </c>
      <c r="C9" s="3">
        <f>C8/C6</f>
        <v/>
      </c>
      <c r="D9" s="3">
        <f>D8/D6</f>
        <v/>
      </c>
      <c r="E9" t="inlineStr">
        <is>
          <t>Formula</t>
        </is>
      </c>
    </row>
    <row r="10">
      <c r="A10" t="inlineStr">
        <is>
          <t>SG&amp;A</t>
        </is>
      </c>
      <c r="B10" s="2" t="n">
        <v>27744</v>
      </c>
      <c r="C10" s="2" t="n">
        <v>24457</v>
      </c>
      <c r="D10" s="2" t="n">
        <v>25379</v>
      </c>
      <c r="E10" t="inlineStr">
        <is>
          <t>EDGAR GeneralAndAdministrativeExpense</t>
        </is>
      </c>
    </row>
    <row r="11">
      <c r="A11" t="inlineStr">
        <is>
          <t>R&amp;D</t>
        </is>
      </c>
      <c r="B11" s="2" t="n">
        <v>52768</v>
      </c>
      <c r="C11" s="2" t="n">
        <v>49750</v>
      </c>
      <c r="D11" s="2" t="n">
        <v>61345</v>
      </c>
      <c r="E11" t="inlineStr">
        <is>
          <t>EDGAR ResearchAndDevelopmentExpense</t>
        </is>
      </c>
    </row>
    <row r="12">
      <c r="A12" t="inlineStr">
        <is>
          <t>EBIT (Operating Loss)</t>
        </is>
      </c>
      <c r="B12" s="2" t="n">
        <v>-72295</v>
      </c>
      <c r="C12" s="2" t="n">
        <v>-68510</v>
      </c>
      <c r="D12" s="2" t="n">
        <v>-84660</v>
      </c>
      <c r="E12" t="inlineStr">
        <is>
          <t>EDGAR OperatingIncomeLoss</t>
        </is>
      </c>
    </row>
    <row r="13">
      <c r="A13" t="inlineStr">
        <is>
          <t>D&amp;A</t>
        </is>
      </c>
      <c r="B13" s="2" t="n">
        <v>7400</v>
      </c>
      <c r="C13" s="2" t="n">
        <v>6900</v>
      </c>
      <c r="D13" s="2" t="n">
        <v>8100</v>
      </c>
      <c r="E13" t="inlineStr">
        <is>
          <t>EDGAR DepreciationDepletionAndAmortization (cash-flow stmt)</t>
        </is>
      </c>
    </row>
    <row r="14">
      <c r="A14" t="inlineStr">
        <is>
          <t>Stock-Based Comp</t>
        </is>
      </c>
      <c r="B14" s="2" t="n">
        <v>12409</v>
      </c>
      <c r="C14" s="2" t="n">
        <v>13069</v>
      </c>
      <c r="D14" s="2" t="n">
        <v>17605</v>
      </c>
      <c r="E14" t="inlineStr">
        <is>
          <t>EDGAR AllocatedShareBasedCompensationExpense</t>
        </is>
      </c>
    </row>
    <row r="15">
      <c r="A15" t="inlineStr">
        <is>
          <t>CapEx (PP&amp;E)</t>
        </is>
      </c>
      <c r="B15" s="2" t="n">
        <v>9059</v>
      </c>
      <c r="C15" s="2" t="n">
        <v>11098</v>
      </c>
      <c r="D15" s="2" t="n">
        <v>18676</v>
      </c>
      <c r="E15" t="inlineStr">
        <is>
          <t>EDGAR PaymentsToAcquirePropertyPlantAndEquipment</t>
        </is>
      </c>
    </row>
    <row r="16">
      <c r="A16" t="inlineStr">
        <is>
          <t>Capitalized Software</t>
        </is>
      </c>
      <c r="B16" s="2" t="n">
        <v>0</v>
      </c>
      <c r="C16" s="2" t="n">
        <v>0</v>
      </c>
      <c r="D16" s="2" t="n">
        <v>0</v>
      </c>
      <c r="E16" t="inlineStr">
        <is>
          <t>Source: EDGAR</t>
        </is>
      </c>
    </row>
    <row r="17">
      <c r="A17" t="inlineStr">
        <is>
          <t>Interest Expense</t>
        </is>
      </c>
      <c r="B17" s="2" t="n">
        <v>5779</v>
      </c>
      <c r="C17" s="2" t="n">
        <v>0</v>
      </c>
      <c r="D17" s="2" t="n">
        <v>0</v>
      </c>
      <c r="E17" t="inlineStr">
        <is>
          <t>EDGAR InterestExpense (0 in FY2024/25 — debt fully retired)</t>
        </is>
      </c>
    </row>
    <row r="18">
      <c r="A18" t="inlineStr">
        <is>
          <t>Interest Income</t>
        </is>
      </c>
      <c r="B18" s="2" t="n">
        <v>0</v>
      </c>
      <c r="C18" s="2" t="n">
        <v>0</v>
      </c>
      <c r="D18" s="2" t="n">
        <v>0</v>
      </c>
      <c r="E18" t="inlineStr">
        <is>
          <t>Not separately tagged in XBRL</t>
        </is>
      </c>
    </row>
    <row r="19">
      <c r="A19" t="inlineStr">
        <is>
          <t>Net Loss</t>
        </is>
      </c>
      <c r="B19" s="2" t="n">
        <v>-75107</v>
      </c>
      <c r="C19" s="2" t="n">
        <v>-200988</v>
      </c>
      <c r="D19" s="2" t="n">
        <v>-216210</v>
      </c>
      <c r="E19" t="inlineStr">
        <is>
          <t>EDGAR NetIncomeLoss</t>
        </is>
      </c>
    </row>
    <row r="22">
      <c r="A22" s="1" t="inlineStr">
        <is>
          <t>A2.  BALANCE SHEET SNAPSHOT  (Source: RGTI 10-K FY2025, SEC EDGAR CIK 0001838359)</t>
        </is>
      </c>
    </row>
    <row r="23">
      <c r="A23" s="1" t="inlineStr">
        <is>
          <t>Line Item</t>
        </is>
      </c>
      <c r="B23" s="1" t="inlineStr">
        <is>
          <t>FY2024</t>
        </is>
      </c>
      <c r="C23" s="1" t="inlineStr">
        <is>
          <t>FY2025</t>
        </is>
      </c>
      <c r="E23" s="1" t="inlineStr">
        <is>
          <t>Notes</t>
        </is>
      </c>
    </row>
    <row r="24">
      <c r="A24" t="inlineStr">
        <is>
          <t>Cash &amp; Equivalents</t>
        </is>
      </c>
      <c r="B24" s="2" t="n">
        <v>67674</v>
      </c>
      <c r="C24" s="2" t="n">
        <v>44851</v>
      </c>
      <c r="E24" t="inlineStr">
        <is>
          <t>EDGAR Cash</t>
        </is>
      </c>
    </row>
    <row r="25">
      <c r="A25" t="inlineStr">
        <is>
          <t>AFS Investments (Current)</t>
        </is>
      </c>
      <c r="B25" s="2" t="n">
        <v>0</v>
      </c>
      <c r="C25" s="2" t="n">
        <v>0</v>
      </c>
      <c r="E25" t="inlineStr">
        <is>
          <t>EDGAR / 0 if none</t>
        </is>
      </c>
    </row>
    <row r="26">
      <c r="A26" t="inlineStr">
        <is>
          <t>AFS Investments (Non-Current)</t>
        </is>
      </c>
      <c r="B26" s="2" t="n">
        <v>0</v>
      </c>
      <c r="C26" s="2" t="n">
        <v>0</v>
      </c>
      <c r="E26" t="inlineStr">
        <is>
          <t>EDGAR / 0 if none</t>
        </is>
      </c>
    </row>
    <row r="27">
      <c r="A27" t="inlineStr">
        <is>
          <t>Total Liquidity</t>
        </is>
      </c>
      <c r="B27" s="2">
        <f>B24+B25+B26</f>
        <v/>
      </c>
      <c r="C27" s="2">
        <f>C24+C25+C26</f>
        <v/>
      </c>
      <c r="E27" t="inlineStr">
        <is>
          <t>Formula: Cash + AFS</t>
        </is>
      </c>
    </row>
    <row r="28">
      <c r="A28" t="inlineStr">
        <is>
          <t>Accounts Receivable</t>
        </is>
      </c>
      <c r="B28" s="2" t="n">
        <v>2427</v>
      </c>
      <c r="C28" s="2" t="n">
        <v>2551</v>
      </c>
      <c r="E28" t="inlineStr">
        <is>
          <t>EDGAR AR</t>
        </is>
      </c>
    </row>
    <row r="29">
      <c r="A29" t="inlineStr">
        <is>
          <t>Goodwill</t>
        </is>
      </c>
      <c r="B29" s="2" t="n">
        <v>0</v>
      </c>
      <c r="C29" s="2" t="n">
        <v>0</v>
      </c>
      <c r="E29" t="inlineStr">
        <is>
          <t>EDGAR Goodwill</t>
        </is>
      </c>
    </row>
    <row r="30">
      <c r="A30" t="inlineStr">
        <is>
          <t>Intangibles, net</t>
        </is>
      </c>
      <c r="B30" s="2" t="n">
        <v>0</v>
      </c>
      <c r="C30" s="2" t="n">
        <v>0</v>
      </c>
      <c r="E30" t="inlineStr">
        <is>
          <t>EDGAR Intangibles</t>
        </is>
      </c>
    </row>
    <row r="31">
      <c r="A31" t="inlineStr">
        <is>
          <t>Total Debt (Gross Principal)</t>
        </is>
      </c>
      <c r="B31" s="2" t="n">
        <v>0</v>
      </c>
      <c r="C31" s="2" t="n">
        <v>0</v>
      </c>
      <c r="E31" t="inlineStr">
        <is>
          <t>EDGAR Debt</t>
        </is>
      </c>
    </row>
    <row r="32">
      <c r="A32" t="inlineStr">
        <is>
          <t>Post-FY2025 Debt</t>
        </is>
      </c>
      <c r="B32" s="2">
        <f>B31</f>
        <v/>
      </c>
      <c r="C32" s="2" t="n">
        <v>0</v>
      </c>
      <c r="E32" t="inlineStr">
        <is>
          <t>Debt-free as of FY2024; term loan fully retired</t>
        </is>
      </c>
    </row>
    <row r="33">
      <c r="A33" t="inlineStr">
        <is>
          <t>Shares Outstanding</t>
        </is>
      </c>
      <c r="B33" s="2" t="n">
        <v>184666000</v>
      </c>
      <c r="C33" s="2" t="n">
        <v>309763000</v>
      </c>
      <c r="E33" t="inlineStr">
        <is>
          <t>EDGAR diluted shares</t>
        </is>
      </c>
    </row>
    <row r="34">
      <c r="A34" t="inlineStr">
        <is>
          <t>Shares Used in Bridge</t>
        </is>
      </c>
      <c r="B34" s="2">
        <f>B33</f>
        <v/>
      </c>
      <c r="C34" s="2" t="n">
        <v>309763000</v>
      </c>
      <c r="E34" t="inlineStr">
        <is>
          <t>FY2025 diluted wtd-avg (significant ongoing dilution expected)</t>
        </is>
      </c>
    </row>
    <row r="35">
      <c r="A35" t="inlineStr">
        <is>
          <t>Federal NOL Carryforward ($K)</t>
        </is>
      </c>
      <c r="C35" s="2" t="n">
        <v>131826</v>
      </c>
      <c r="E35" t="inlineStr">
        <is>
          <t>EDGAR DeferredTaxAssetsGross FY2025 ($K proxy for NOL)</t>
        </is>
      </c>
    </row>
    <row r="38">
      <c r="A38" s="1" t="inlineStr">
        <is>
          <t>B.  REVENUE GROWTH ASSUMPTIONS  (Yellow = key input)</t>
        </is>
      </c>
    </row>
    <row r="39">
      <c r="A39" s="1" t="inlineStr">
        <is>
          <t>Assumption</t>
        </is>
      </c>
      <c r="B39" s="1" t="inlineStr">
        <is>
          <t>Base Case</t>
        </is>
      </c>
      <c r="C39" s="1" t="inlineStr">
        <is>
          <t>Bull Case</t>
        </is>
      </c>
      <c r="D39" s="1" t="inlineStr">
        <is>
          <t>Bear Case</t>
        </is>
      </c>
      <c r="E39" s="1" t="inlineStr">
        <is>
          <t>Notes</t>
        </is>
      </c>
    </row>
    <row r="40">
      <c r="A40" t="inlineStr">
        <is>
          <t>FY2026 Revenue Growth Rate</t>
        </is>
      </c>
      <c r="B40" s="4" t="n">
        <v>0.5</v>
      </c>
      <c r="C40" s="4" t="n">
        <v>1</v>
      </c>
      <c r="D40" s="4" t="n">
        <v>-0.1</v>
      </c>
      <c r="E40" t="inlineStr">
        <is>
          <t>Revenue declining in FY2025; stabilisation + first commercial ramp</t>
        </is>
      </c>
    </row>
    <row r="41">
      <c r="A41" t="inlineStr">
        <is>
          <t>FY2027 Revenue Growth Rate</t>
        </is>
      </c>
      <c r="B41" s="4" t="n">
        <v>0.8</v>
      </c>
      <c r="C41" s="4" t="n">
        <v>2</v>
      </c>
      <c r="D41" s="4" t="n">
        <v>0.1</v>
      </c>
      <c r="E41" t="inlineStr">
        <is>
          <t>Quantum advantage demonstrations driving enterprise pilots</t>
        </is>
      </c>
    </row>
    <row r="42">
      <c r="A42" t="inlineStr">
        <is>
          <t>FY2028 Revenue Growth Rate</t>
        </is>
      </c>
      <c r="B42" s="4" t="n">
        <v>1.2</v>
      </c>
      <c r="C42" s="4" t="n">
        <v>2.5</v>
      </c>
      <c r="D42" s="4" t="n">
        <v>0.2</v>
      </c>
      <c r="E42" t="inlineStr">
        <is>
          <t>Multi-qubit systems reaching commercial-grade fidelity</t>
        </is>
      </c>
    </row>
    <row r="43">
      <c r="A43" t="inlineStr">
        <is>
          <t>FY2029 Revenue Growth Rate</t>
        </is>
      </c>
      <c r="B43" s="4" t="n">
        <v>1</v>
      </c>
      <c r="C43" s="4" t="n">
        <v>2</v>
      </c>
      <c r="D43" s="4" t="n">
        <v>0.3</v>
      </c>
      <c r="E43" t="inlineStr">
        <is>
          <t>Hyperscaler + pharma / finance contract wins</t>
        </is>
      </c>
    </row>
    <row r="44">
      <c r="A44" t="inlineStr">
        <is>
          <t>FY2030 Revenue Growth Rate</t>
        </is>
      </c>
      <c r="B44" s="4" t="n">
        <v>0.8</v>
      </c>
      <c r="C44" s="4" t="n">
        <v>1.5</v>
      </c>
      <c r="D44" s="4" t="n">
        <v>0.25</v>
      </c>
      <c r="E44" t="inlineStr">
        <is>
          <t>TAM penetration; Rigetti platform-as-a-service scaling</t>
        </is>
      </c>
    </row>
    <row r="45">
      <c r="A45" t="inlineStr">
        <is>
          <t>FY2031–2035 Revenue Growth Rate</t>
        </is>
      </c>
      <c r="B45" s="4" t="n">
        <v>0.6</v>
      </c>
      <c r="C45" s="4" t="n">
        <v>1</v>
      </c>
      <c r="D45" s="4" t="n">
        <v>0.18</v>
      </c>
      <c r="E45" t="inlineStr">
        <is>
          <t>Quantum-classical hybrid workloads mainstream</t>
        </is>
      </c>
    </row>
    <row r="46">
      <c r="A46" t="inlineStr">
        <is>
          <t>FY2036–2040 Revenue Growth Rate</t>
        </is>
      </c>
      <c r="B46" s="4" t="n">
        <v>0.35</v>
      </c>
      <c r="C46" s="4" t="n">
        <v>0.6</v>
      </c>
      <c r="D46" s="4" t="n">
        <v>0.1</v>
      </c>
      <c r="E46" t="inlineStr"/>
    </row>
    <row r="47">
      <c r="A47" t="inlineStr">
        <is>
          <t>FY2041–2045 Revenue Growth Rate</t>
        </is>
      </c>
      <c r="B47" s="4" t="n">
        <v>0.15</v>
      </c>
      <c r="C47" s="4" t="n">
        <v>0.25</v>
      </c>
      <c r="D47" s="4" t="n">
        <v>0.07000000000000001</v>
      </c>
      <c r="E47" t="inlineStr"/>
    </row>
    <row r="49">
      <c r="A49" t="inlineStr">
        <is>
          <t>ACTIVE SCENARIO → Enter 1 = Base Case  |  2 = Bull Case  |  3 = Bear Case</t>
        </is>
      </c>
    </row>
    <row r="50">
      <c r="A50" t="inlineStr">
        <is>
          <t>Active Scenario (1/2/3)</t>
        </is>
      </c>
      <c r="B50" s="5" t="n">
        <v>1</v>
      </c>
      <c r="E50" t="inlineStr">
        <is>
          <t>Change this cell to switch scenarios on DCF sheet. 1=Base, 2=Bull, 3=Bear</t>
        </is>
      </c>
    </row>
    <row r="52">
      <c r="A52" s="1" t="inlineStr">
        <is>
          <t>C.  MARGIN &amp; COST ASSUMPTIONS</t>
        </is>
      </c>
    </row>
    <row r="53">
      <c r="A53" s="1" t="inlineStr">
        <is>
          <t>Assumption</t>
        </is>
      </c>
      <c r="B53" s="1" t="inlineStr">
        <is>
          <t>Base Case</t>
        </is>
      </c>
      <c r="C53" s="1" t="inlineStr">
        <is>
          <t>Bull Case</t>
        </is>
      </c>
      <c r="D53" s="1" t="inlineStr">
        <is>
          <t>Bear Case</t>
        </is>
      </c>
      <c r="E53" s="1" t="inlineStr">
        <is>
          <t>Notes</t>
        </is>
      </c>
    </row>
    <row r="54">
      <c r="A54" t="inlineStr">
        <is>
          <t>Gross Margin % — FY2026</t>
        </is>
      </c>
      <c r="B54" s="6" t="n">
        <v>0.32</v>
      </c>
      <c r="C54" s="6" t="n">
        <v>0.42</v>
      </c>
      <c r="D54" s="6" t="n">
        <v>0.2</v>
      </c>
      <c r="E54" t="inlineStr">
        <is>
          <t>FY2025=29%; hardware-heavy mix; software shift begins</t>
        </is>
      </c>
    </row>
    <row r="55">
      <c r="A55" t="inlineStr">
        <is>
          <t>Gross Margin % — FY2027</t>
        </is>
      </c>
      <c r="B55" s="6" t="n">
        <v>0.45</v>
      </c>
      <c r="C55" s="6" t="n">
        <v>0.6</v>
      </c>
      <c r="D55" s="6" t="n">
        <v>0.25</v>
      </c>
      <c r="E55" t="inlineStr"/>
    </row>
    <row r="56">
      <c r="A56" t="inlineStr">
        <is>
          <t>Gross Margin % — FY2028</t>
        </is>
      </c>
      <c r="B56" s="6" t="n">
        <v>0.55</v>
      </c>
      <c r="C56" s="6" t="n">
        <v>0.68</v>
      </c>
      <c r="D56" s="6" t="n">
        <v>0.3</v>
      </c>
      <c r="E56" t="inlineStr"/>
    </row>
    <row r="57">
      <c r="A57" t="inlineStr">
        <is>
          <t>Gross Margin % — FY2029</t>
        </is>
      </c>
      <c r="B57" s="6" t="n">
        <v>0.62</v>
      </c>
      <c r="C57" s="6" t="n">
        <v>0.72</v>
      </c>
      <c r="D57" s="6" t="n">
        <v>0.35</v>
      </c>
      <c r="E57" t="inlineStr"/>
    </row>
    <row r="58">
      <c r="A58" t="inlineStr">
        <is>
          <t>Gross Margin % — FY2030</t>
        </is>
      </c>
      <c r="B58" s="6" t="n">
        <v>0.65</v>
      </c>
      <c r="C58" s="6" t="n">
        <v>0.74</v>
      </c>
      <c r="D58" s="6" t="n">
        <v>0.4</v>
      </c>
      <c r="E58" t="inlineStr"/>
    </row>
    <row r="59">
      <c r="A59" t="inlineStr">
        <is>
          <t>Gross Margin % — FY2031–35</t>
        </is>
      </c>
      <c r="B59" s="6" t="n">
        <v>0.68</v>
      </c>
      <c r="C59" s="6" t="n">
        <v>0.76</v>
      </c>
      <c r="D59" s="6" t="n">
        <v>0.45</v>
      </c>
      <c r="E59" t="inlineStr"/>
    </row>
    <row r="60">
      <c r="A60" t="inlineStr">
        <is>
          <t>Gross Margin % — FY2036–45</t>
        </is>
      </c>
      <c r="B60" s="6" t="n">
        <v>0.7</v>
      </c>
      <c r="C60" s="6" t="n">
        <v>0.78</v>
      </c>
      <c r="D60" s="6" t="n">
        <v>0.5</v>
      </c>
      <c r="E60" t="inlineStr"/>
    </row>
    <row r="61">
      <c r="A61" t="inlineStr">
        <is>
          <t>SG&amp;A as % Revenue — FY2026</t>
        </is>
      </c>
      <c r="B61" s="6" t="n">
        <v>2.2</v>
      </c>
      <c r="C61" s="6" t="n">
        <v>1.4</v>
      </c>
      <c r="D61" s="6" t="n">
        <v>3.1</v>
      </c>
      <c r="E61" t="inlineStr">
        <is>
          <t>FY2025 SGA/Rev=358%; absolute SGA ~$25M semi-fixed</t>
        </is>
      </c>
    </row>
    <row r="62">
      <c r="A62" t="inlineStr">
        <is>
          <t>SG&amp;A as % Revenue — FY2027</t>
        </is>
      </c>
      <c r="B62" s="6" t="n">
        <v>1.1</v>
      </c>
      <c r="C62" s="6" t="n">
        <v>0.65</v>
      </c>
      <c r="D62" s="6" t="n">
        <v>2.4</v>
      </c>
      <c r="E62" t="inlineStr"/>
    </row>
    <row r="63">
      <c r="A63" t="inlineStr">
        <is>
          <t>SG&amp;A as % Revenue — FY2028</t>
        </is>
      </c>
      <c r="B63" s="6" t="n">
        <v>0.58</v>
      </c>
      <c r="C63" s="6" t="n">
        <v>0.38</v>
      </c>
      <c r="D63" s="6" t="n">
        <v>1.4</v>
      </c>
      <c r="E63" t="inlineStr"/>
    </row>
    <row r="64">
      <c r="A64" t="inlineStr">
        <is>
          <t>SG&amp;A as % Revenue — FY2029</t>
        </is>
      </c>
      <c r="B64" s="6" t="n">
        <v>0.35</v>
      </c>
      <c r="C64" s="6" t="n">
        <v>0.22</v>
      </c>
      <c r="D64" s="6" t="n">
        <v>0.85</v>
      </c>
      <c r="E64" t="inlineStr"/>
    </row>
    <row r="65">
      <c r="A65" t="inlineStr">
        <is>
          <t>SG&amp;A as % Revenue — FY2030</t>
        </is>
      </c>
      <c r="B65" s="6" t="n">
        <v>0.24</v>
      </c>
      <c r="C65" s="6" t="n">
        <v>0.16</v>
      </c>
      <c r="D65" s="6" t="n">
        <v>0.55</v>
      </c>
      <c r="E65" t="inlineStr"/>
    </row>
    <row r="66">
      <c r="A66" t="inlineStr">
        <is>
          <t>SG&amp;A as % Revenue — FY2031–35</t>
        </is>
      </c>
      <c r="B66" s="6" t="n">
        <v>0.17</v>
      </c>
      <c r="C66" s="6" t="n">
        <v>0.12</v>
      </c>
      <c r="D66" s="6" t="n">
        <v>0.35</v>
      </c>
      <c r="E66" t="inlineStr"/>
    </row>
    <row r="67">
      <c r="A67" t="inlineStr">
        <is>
          <t>SG&amp;A as % Revenue — FY2036–45</t>
        </is>
      </c>
      <c r="B67" s="6" t="n">
        <v>0.12</v>
      </c>
      <c r="C67" s="6" t="n">
        <v>0.08</v>
      </c>
      <c r="D67" s="6" t="n">
        <v>0.26</v>
      </c>
      <c r="E67" t="inlineStr"/>
    </row>
    <row r="68">
      <c r="A68" t="inlineStr">
        <is>
          <t>R&amp;D as % Revenue — All Years</t>
        </is>
      </c>
      <c r="B68" s="6" t="n">
        <v>0.45</v>
      </c>
      <c r="C68" s="6" t="n">
        <v>0.35</v>
      </c>
      <c r="D68" s="6" t="n">
        <v>0.55</v>
      </c>
      <c r="E68" t="inlineStr">
        <is>
          <t>FY2025 R&amp;D/Rev=866%; declines as rev scales</t>
        </is>
      </c>
    </row>
    <row r="69">
      <c r="A69" t="inlineStr">
        <is>
          <t>D&amp;A as % Revenue — All Years</t>
        </is>
      </c>
      <c r="B69" s="6" t="n">
        <v>0.45</v>
      </c>
      <c r="C69" s="6" t="n">
        <v>0.38</v>
      </c>
      <c r="D69" s="6" t="n">
        <v>0.52</v>
      </c>
      <c r="E69" t="inlineStr">
        <is>
          <t>FY2025 DA/Rev=114%; reflects quantum hardware depreciation</t>
        </is>
      </c>
    </row>
    <row r="70">
      <c r="A70" t="inlineStr">
        <is>
          <t>CapEx as % Revenue — All Years</t>
        </is>
      </c>
      <c r="B70" s="6" t="n">
        <v>0.15</v>
      </c>
      <c r="C70" s="6" t="n">
        <v>0.1</v>
      </c>
      <c r="D70" s="6" t="n">
        <v>0.2</v>
      </c>
      <c r="E70" t="inlineStr">
        <is>
          <t>FY2025=263% of tiny revenue; quantum system capex</t>
        </is>
      </c>
    </row>
    <row r="71">
      <c r="A71" t="inlineStr">
        <is>
          <t>Stock-Based Comp as % Revenue</t>
        </is>
      </c>
      <c r="B71" s="6" t="n">
        <v>0.12</v>
      </c>
      <c r="C71" s="6" t="n">
        <v>0.1</v>
      </c>
      <c r="D71" s="6" t="n">
        <v>0.15</v>
      </c>
      <c r="E71" t="inlineStr">
        <is>
          <t>FY2025 SBC=$17.6M; normalising as rev grows</t>
        </is>
      </c>
    </row>
    <row r="72">
      <c r="A72" t="inlineStr">
        <is>
          <t>Change in NWC as % Rev Change</t>
        </is>
      </c>
      <c r="B72" s="6" t="n">
        <v>0.03</v>
      </c>
      <c r="C72" s="6" t="n">
        <v>0.02</v>
      </c>
      <c r="D72" s="6" t="n">
        <v>0.05</v>
      </c>
      <c r="E72" t="inlineStr"/>
    </row>
    <row r="73">
      <c r="A73" t="inlineStr">
        <is>
          <t>Tax Rate (Cash)</t>
        </is>
      </c>
      <c r="B73" s="6" t="n">
        <v>0</v>
      </c>
      <c r="C73" s="6" t="n">
        <v>0</v>
      </c>
      <c r="D73" s="6" t="n">
        <v>0</v>
      </c>
      <c r="E73" t="inlineStr">
        <is>
          <t>$132M DTA; NOL shields all near-term income</t>
        </is>
      </c>
    </row>
    <row r="74">
      <c r="A74" t="inlineStr">
        <is>
          <t>Tax Rate (Terminal / WACC)</t>
        </is>
      </c>
      <c r="B74" s="6" t="n">
        <v>0.21</v>
      </c>
      <c r="C74" s="6" t="n">
        <v>0.21</v>
      </c>
      <c r="D74" s="6" t="n">
        <v>0.21</v>
      </c>
      <c r="E74" t="inlineStr">
        <is>
          <t>US statutory rate</t>
        </is>
      </c>
    </row>
    <row r="77">
      <c r="A77" s="1" t="inlineStr">
        <is>
          <t>D.  WACC ASSUMPTIONS</t>
        </is>
      </c>
    </row>
    <row r="78">
      <c r="A78" s="1" t="inlineStr">
        <is>
          <t>Assumption</t>
        </is>
      </c>
      <c r="B78" s="1" t="inlineStr">
        <is>
          <t>Base Case</t>
        </is>
      </c>
      <c r="C78" s="1" t="inlineStr">
        <is>
          <t>Bull Case</t>
        </is>
      </c>
      <c r="D78" s="1" t="inlineStr">
        <is>
          <t>Bear Case</t>
        </is>
      </c>
      <c r="E78" s="1" t="inlineStr">
        <is>
          <t>Notes</t>
        </is>
      </c>
    </row>
    <row r="79">
      <c r="A79" t="inlineStr">
        <is>
          <t>Risk-Free Rate</t>
        </is>
      </c>
      <c r="B79" s="6" t="n">
        <v>0.043</v>
      </c>
      <c r="C79" s="6" t="n">
        <v>0.04</v>
      </c>
      <c r="D79" s="6" t="n">
        <v>0.046</v>
      </c>
      <c r="E79" t="inlineStr">
        <is>
          <t>10-yr US Treasury May 2026</t>
        </is>
      </c>
    </row>
    <row r="80">
      <c r="A80" t="inlineStr">
        <is>
          <t>Equity Risk Premium</t>
        </is>
      </c>
      <c r="B80" s="6" t="n">
        <v>0.055</v>
      </c>
      <c r="C80" s="6" t="n">
        <v>0.05</v>
      </c>
      <c r="D80" s="6" t="n">
        <v>0.06</v>
      </c>
      <c r="E80" t="inlineStr">
        <is>
          <t>Damodaran US ERP</t>
        </is>
      </c>
    </row>
    <row r="81">
      <c r="A81" t="inlineStr">
        <is>
          <t>Beta (Levered)</t>
        </is>
      </c>
      <c r="B81" s="7" t="n">
        <v>2.5</v>
      </c>
      <c r="C81" s="7" t="n">
        <v>2</v>
      </c>
      <c r="D81" s="7" t="n">
        <v>3</v>
      </c>
      <c r="E81" t="inlineStr">
        <is>
          <t>Deep-tech pre-revenue; quantum binary outcome; ~2.5–3.0 beta</t>
        </is>
      </c>
    </row>
    <row r="82">
      <c r="A82" t="inlineStr">
        <is>
          <t>Size / Illiquidity Premium</t>
        </is>
      </c>
      <c r="B82" s="6" t="n">
        <v>0.035</v>
      </c>
      <c r="C82" s="6" t="n">
        <v>0.02</v>
      </c>
      <c r="D82" s="6" t="n">
        <v>0.05</v>
      </c>
      <c r="E82" t="inlineStr"/>
    </row>
    <row r="83">
      <c r="A83" t="inlineStr">
        <is>
          <t>Cost of Equity</t>
        </is>
      </c>
      <c r="B83" s="3">
        <f>B79+B81*B80+B82</f>
        <v/>
      </c>
      <c r="C83" s="3">
        <f>C79+C81*C80+C82</f>
        <v/>
      </c>
      <c r="D83" s="3">
        <f>D79+D81*D80+D82</f>
        <v/>
      </c>
      <c r="E83" t="inlineStr">
        <is>
          <t>Formula: Rf + Beta×ERP + Size</t>
        </is>
      </c>
    </row>
    <row r="84">
      <c r="A84" t="inlineStr">
        <is>
          <t>Pre-Tax Cost of Debt</t>
        </is>
      </c>
      <c r="B84" s="6" t="n">
        <v>0.05</v>
      </c>
      <c r="C84" s="6" t="n">
        <v>0.045</v>
      </c>
      <c r="D84" s="6" t="n">
        <v>0.065</v>
      </c>
      <c r="E84" t="inlineStr">
        <is>
          <t>No current debt; modelled for future capital raises</t>
        </is>
      </c>
    </row>
    <row r="85">
      <c r="A85" t="inlineStr">
        <is>
          <t>Weight of Equity</t>
        </is>
      </c>
      <c r="B85" s="6" t="n">
        <v>0.9</v>
      </c>
      <c r="C85" s="6" t="n">
        <v>0.95</v>
      </c>
      <c r="D85" s="6" t="n">
        <v>0.85</v>
      </c>
      <c r="E85" t="inlineStr">
        <is>
          <t>Equity-funded; may issue convertibles for quantum hardware buildout</t>
        </is>
      </c>
    </row>
    <row r="86">
      <c r="A86" t="inlineStr">
        <is>
          <t>Weight of Debt</t>
        </is>
      </c>
      <c r="B86" s="3">
        <f>1-B85</f>
        <v/>
      </c>
      <c r="C86" s="3">
        <f>1-C85</f>
        <v/>
      </c>
      <c r="D86" s="3">
        <f>1-D85</f>
        <v/>
      </c>
      <c r="E86" t="inlineStr">
        <is>
          <t>Formula: 1 − Weight of Equity</t>
        </is>
      </c>
    </row>
    <row r="87">
      <c r="A87" t="inlineStr">
        <is>
          <t>WACC</t>
        </is>
      </c>
      <c r="B87" s="3">
        <f>B83*B85+B84*(1-D74)*B86</f>
        <v/>
      </c>
      <c r="C87" s="3">
        <f>C83*C85+C84*(1-D74)*C86</f>
        <v/>
      </c>
      <c r="D87" s="3">
        <f>D83*D85+D84*(1-D74)*D86</f>
        <v/>
      </c>
      <c r="E87" t="inlineStr">
        <is>
          <t>Formula: Ke×We + Kd×(1−t)×Wd</t>
        </is>
      </c>
    </row>
    <row r="90">
      <c r="A90" s="1" t="inlineStr">
        <is>
          <t>E.  TERMINAL VALUE ASSUMPTIONS</t>
        </is>
      </c>
    </row>
    <row r="91">
      <c r="A91" s="1" t="inlineStr">
        <is>
          <t>Assumption</t>
        </is>
      </c>
      <c r="B91" s="1" t="inlineStr">
        <is>
          <t>Base Case</t>
        </is>
      </c>
      <c r="C91" s="1" t="inlineStr">
        <is>
          <t>Bull Case</t>
        </is>
      </c>
      <c r="D91" s="1" t="inlineStr">
        <is>
          <t>Bear Case</t>
        </is>
      </c>
      <c r="E91" s="1" t="inlineStr">
        <is>
          <t>Notes</t>
        </is>
      </c>
    </row>
    <row r="92">
      <c r="A92" t="inlineStr">
        <is>
          <t>Terminal Growth Rate (Gordon Growth)</t>
        </is>
      </c>
      <c r="B92" s="4" t="n">
        <v>0.035</v>
      </c>
      <c r="C92" s="4" t="n">
        <v>0.045</v>
      </c>
      <c r="D92" s="4" t="n">
        <v>0.02</v>
      </c>
      <c r="E92" t="inlineStr">
        <is>
          <t>Quantum-AI platform; long-run GDP+ growth if commercialised</t>
        </is>
      </c>
    </row>
    <row r="93">
      <c r="A93" t="inlineStr">
        <is>
          <t>Terminal EV/EBITDA Multiple (cross-check)</t>
        </is>
      </c>
      <c r="B93" s="8" t="n">
        <v>25</v>
      </c>
      <c r="C93" s="8" t="n">
        <v>40</v>
      </c>
      <c r="D93" s="8" t="n">
        <v>8</v>
      </c>
      <c r="E93" t="inlineStr">
        <is>
          <t>Quantum platform comps: 20–50× if winner; 5–10× if niche</t>
        </is>
      </c>
    </row>
    <row r="94">
      <c r="A94" t="inlineStr">
        <is>
          <t>Terminal EBITDA Margin (for EV/EBITDA check)</t>
        </is>
      </c>
      <c r="B94" s="4" t="n">
        <v>0.2</v>
      </c>
      <c r="C94" s="4" t="n">
        <v>0.35</v>
      </c>
      <c r="D94" s="4" t="n">
        <v>0.05</v>
      </c>
      <c r="E94" t="inlineStr">
        <is>
          <t>Requires platform shift; highly binary</t>
        </is>
      </c>
    </row>
    <row r="97">
      <c r="A97" s="1" t="inlineStr">
        <is>
          <t>F.  WACC DECOMPOSITION — Why WACC is high &amp; the two levers to lower it</t>
        </is>
      </c>
    </row>
    <row r="98">
      <c r="A98" s="1" t="inlineStr">
        <is>
          <t>Component</t>
        </is>
      </c>
      <c r="B98" s="1" t="inlineStr">
        <is>
          <t>Current Value</t>
        </is>
      </c>
      <c r="C98" s="1" t="inlineStr">
        <is>
          <t>Source / Formula</t>
        </is>
      </c>
      <c r="D98" s="1" t="inlineStr">
        <is>
          <t>Contribution to WACC</t>
        </is>
      </c>
      <c r="E98" s="1" t="inlineStr">
        <is>
          <t>How to Lower It</t>
        </is>
      </c>
    </row>
    <row r="99">
      <c r="A99" t="inlineStr">
        <is>
          <t>Risk-Free Rate (Rf)</t>
        </is>
      </c>
      <c r="B99">
        <f>B79</f>
        <v/>
      </c>
      <c r="C99" t="inlineStr">
        <is>
          <t>Rf × We</t>
        </is>
      </c>
      <c r="D99" s="3">
        <f>B79*B85</f>
        <v/>
      </c>
      <c r="E99" t="inlineStr"/>
    </row>
    <row r="100">
      <c r="A100" t="inlineStr">
        <is>
          <t>Equity Risk Premium (ERP)</t>
        </is>
      </c>
      <c r="B100">
        <f>B80</f>
        <v/>
      </c>
      <c r="C100" t="inlineStr">
        <is>
          <t>Damodaran ERP</t>
        </is>
      </c>
      <c r="D100" s="3">
        <f>B81*B80*B85</f>
        <v/>
      </c>
      <c r="E100" t="inlineStr"/>
    </row>
    <row r="101">
      <c r="A101" t="inlineStr">
        <is>
          <t>Beta  ← #1 LEVER</t>
        </is>
      </c>
      <c r="B101">
        <f>B81</f>
        <v/>
      </c>
      <c r="C101" t="inlineStr">
        <is>
          <t>Levered beta</t>
        </is>
      </c>
      <c r="D101" s="3">
        <f>B81*B80*B85</f>
        <v/>
      </c>
      <c r="E101" t="inlineStr"/>
    </row>
    <row r="102">
      <c r="A102" t="inlineStr">
        <is>
          <t>Size/Illiquidity ← #2</t>
        </is>
      </c>
      <c r="B102">
        <f>B82</f>
        <v/>
      </c>
      <c r="C102" t="inlineStr">
        <is>
          <t>Premium</t>
        </is>
      </c>
      <c r="D102" s="3">
        <f>B82*B85</f>
        <v/>
      </c>
      <c r="E102" t="inlineStr"/>
    </row>
    <row r="103">
      <c r="A103" t="inlineStr">
        <is>
          <t>Cost of Equity (Ke)</t>
        </is>
      </c>
      <c r="B103">
        <f>B83</f>
        <v/>
      </c>
      <c r="C103" t="inlineStr">
        <is>
          <t>Rf+Beta×ERP+Size</t>
        </is>
      </c>
      <c r="D103" s="3">
        <f>B83*B85</f>
        <v/>
      </c>
      <c r="E103" t="inlineStr"/>
    </row>
    <row r="104">
      <c r="A104" t="inlineStr">
        <is>
          <t>Cost of Debt (Kd after-tax)</t>
        </is>
      </c>
      <c r="B104">
        <f>B84</f>
        <v/>
      </c>
      <c r="C104" t="inlineStr">
        <is>
          <t>Pre-tax × (1-t)</t>
        </is>
      </c>
      <c r="D104" s="3">
        <f>B84*(1-D74)*B86</f>
        <v/>
      </c>
      <c r="E104" t="inlineStr"/>
    </row>
    <row r="105">
      <c r="A105" t="inlineStr">
        <is>
          <t>WACC</t>
        </is>
      </c>
      <c r="B105">
        <f>B87</f>
        <v/>
      </c>
      <c r="C105" t="inlineStr">
        <is>
          <t>Formula result</t>
        </is>
      </c>
      <c r="E105" t="inlineStr"/>
    </row>
    <row r="107">
      <c r="A107" s="1" t="inlineStr">
        <is>
          <t>G.  WACC COMPRESSION ROADMAP — Change Beta (row 81) and Size Premium (row 82) to model each stage</t>
        </is>
      </c>
    </row>
    <row r="108">
      <c r="A108" s="1" t="inlineStr">
        <is>
          <t>Stage</t>
        </is>
      </c>
      <c r="B108" s="1" t="inlineStr">
        <is>
          <t>Beta</t>
        </is>
      </c>
      <c r="C108" s="1" t="inlineStr">
        <is>
          <t>Size Premium</t>
        </is>
      </c>
      <c r="D108" s="1" t="inlineStr">
        <is>
          <t>Implied WACC</t>
        </is>
      </c>
      <c r="E108" s="1" t="inlineStr">
        <is>
          <t>Trigger / Condition</t>
        </is>
      </c>
    </row>
    <row r="109">
      <c r="A109" t="inlineStr">
        <is>
          <t>Current Base Case</t>
        </is>
      </c>
      <c r="B109" s="9">
        <f>B81</f>
        <v/>
      </c>
      <c r="C109" s="3">
        <f>B82</f>
        <v/>
      </c>
      <c r="D109" s="3">
        <f>B87</f>
        <v/>
      </c>
      <c r="E109" t="inlineStr">
        <is>
          <t>Pre-profit baseline</t>
        </is>
      </c>
    </row>
    <row r="110">
      <c r="A110" t="inlineStr">
        <is>
          <t>Stage 1 — First Revenue Scale ($50M)</t>
        </is>
      </c>
      <c r="B110" s="9" t="n">
        <v>1.8</v>
      </c>
      <c r="C110" s="3" t="n">
        <v>0.025</v>
      </c>
      <c r="D110" s="3">
        <f>(B79+1.8*B80+0.025)*B85+B84*(1-D74)*B86</f>
        <v/>
      </c>
      <c r="E110" t="inlineStr">
        <is>
          <t>Recurring quantum-cloud ARR materialises</t>
        </is>
      </c>
    </row>
    <row r="111">
      <c r="A111" t="inlineStr">
        <is>
          <t>Stage 2 — Break-Even Proof</t>
        </is>
      </c>
      <c r="B111" s="9" t="n">
        <v>1.4</v>
      </c>
      <c r="C111" s="3" t="n">
        <v>0.015</v>
      </c>
      <c r="D111" s="3">
        <f>(B79+1.4*B80+0.015)*B85+B84*(1-D74)*B86</f>
        <v/>
      </c>
      <c r="E111" t="inlineStr">
        <is>
          <t>FCF-positive; quantum-error-correction milestone</t>
        </is>
      </c>
    </row>
    <row r="112">
      <c r="A112" t="inlineStr">
        <is>
          <t>Stage 3 — Hyperscaler Partnerships</t>
        </is>
      </c>
      <c r="B112" s="9" t="n">
        <v>1.1</v>
      </c>
      <c r="C112" s="3" t="n">
        <v>0.005</v>
      </c>
      <c r="D112" s="3">
        <f>(B79+1.1*B80+0.005)*B85+B84*(1-D74)*B86</f>
        <v/>
      </c>
      <c r="E112" t="inlineStr">
        <is>
          <t>AWS/Azure/GCP embedded quantum layer</t>
        </is>
      </c>
    </row>
    <row r="113">
      <c r="A113" t="inlineStr">
        <is>
          <t>Blue Sky — Quantum Category Leader</t>
        </is>
      </c>
      <c r="B113" s="9" t="n">
        <v>0.8</v>
      </c>
      <c r="C113" s="3" t="n">
        <v>0</v>
      </c>
      <c r="D113" s="3">
        <f>(B79+0.8*B80+0.0)*B85+B84*(1-D74)*B86</f>
        <v/>
      </c>
      <c r="E113" t="inlineStr">
        <is>
          <t>De-facto standard for quantum computing infra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RGTI — 20-Year Unlevered Free Cash Flow DCF Model</t>
        </is>
      </c>
    </row>
    <row r="2">
      <c r="A2">
        <f>IF(Assumptions!B50=1,"▶  ACTIVE: BASE CASE",IF(Assumptions!B50=2,"▶  ACTIVE: BULL CASE","▶  ACTIVE: BEAR CASE"))</f>
        <v/>
      </c>
    </row>
    <row r="3">
      <c r="A3" s="1" t="inlineStr">
        <is>
          <t>Year</t>
        </is>
      </c>
      <c r="B3" s="10" t="inlineStr">
        <is>
          <t>FY2025
(Actual)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10" t="inlineStr">
        <is>
          <t>2036</t>
        </is>
      </c>
      <c r="N3" s="10" t="inlineStr">
        <is>
          <t>2037</t>
        </is>
      </c>
      <c r="O3" s="10" t="inlineStr">
        <is>
          <t>2038</t>
        </is>
      </c>
      <c r="P3" s="10" t="inlineStr">
        <is>
          <t>2039</t>
        </is>
      </c>
      <c r="Q3" s="10" t="inlineStr">
        <is>
          <t>2040</t>
        </is>
      </c>
      <c r="R3" s="10" t="inlineStr">
        <is>
          <t>2041</t>
        </is>
      </c>
      <c r="S3" s="10" t="inlineStr">
        <is>
          <t>2042</t>
        </is>
      </c>
      <c r="T3" s="10" t="inlineStr">
        <is>
          <t>2043</t>
        </is>
      </c>
      <c r="U3" s="10" t="inlineStr">
        <is>
          <t>2044</t>
        </is>
      </c>
      <c r="V3" s="10" t="inlineStr">
        <is>
          <t>2045</t>
        </is>
      </c>
    </row>
    <row r="4">
      <c r="A4" s="1" t="inlineStr">
        <is>
          <t>A.  REVENUE PROJECTION</t>
        </is>
      </c>
    </row>
    <row r="5">
      <c r="A5" t="inlineStr">
        <is>
          <t>Revenue Growth Rate (Active Scenario)</t>
        </is>
      </c>
      <c r="B5" t="inlineStr">
        <is>
          <t>—</t>
        </is>
      </c>
      <c r="C5" s="3">
        <f>CHOOSE(Assumptions!B50,Assumptions!B40,Assumptions!C40,Assumptions!D40)</f>
        <v/>
      </c>
      <c r="D5" s="3">
        <f>CHOOSE(Assumptions!B50,Assumptions!B41,Assumptions!C41,Assumptions!D41)</f>
        <v/>
      </c>
      <c r="E5" s="3">
        <f>CHOOSE(Assumptions!B50,Assumptions!B42,Assumptions!C42,Assumptions!D42)</f>
        <v/>
      </c>
      <c r="F5" s="3">
        <f>CHOOSE(Assumptions!B50,Assumptions!B43,Assumptions!C43,Assumptions!D43)</f>
        <v/>
      </c>
      <c r="G5" s="3">
        <f>CHOOSE(Assumptions!B50,Assumptions!B44,Assumptions!C44,Assumptions!D44)</f>
        <v/>
      </c>
      <c r="H5" s="3">
        <f>CHOOSE(Assumptions!B50,Assumptions!B45,Assumptions!C45,Assumptions!D45)</f>
        <v/>
      </c>
      <c r="I5" s="3">
        <f>CHOOSE(Assumptions!B50,Assumptions!B45,Assumptions!C45,Assumptions!D45)</f>
        <v/>
      </c>
      <c r="J5" s="3">
        <f>CHOOSE(Assumptions!B50,Assumptions!B45,Assumptions!C45,Assumptions!D45)</f>
        <v/>
      </c>
      <c r="K5" s="3">
        <f>CHOOSE(Assumptions!B50,Assumptions!B45,Assumptions!C45,Assumptions!D45)</f>
        <v/>
      </c>
      <c r="L5" s="3">
        <f>CHOOSE(Assumptions!B50,Assumptions!B45,Assumptions!C45,Assumptions!D45)</f>
        <v/>
      </c>
      <c r="M5" s="3">
        <f>CHOOSE(Assumptions!B50,Assumptions!B46,Assumptions!C46,Assumptions!D46)</f>
        <v/>
      </c>
      <c r="N5" s="3">
        <f>CHOOSE(Assumptions!B50,Assumptions!B46,Assumptions!C46,Assumptions!D46)</f>
        <v/>
      </c>
      <c r="O5" s="3">
        <f>CHOOSE(Assumptions!B50,Assumptions!B46,Assumptions!C46,Assumptions!D46)</f>
        <v/>
      </c>
      <c r="P5" s="3">
        <f>CHOOSE(Assumptions!B50,Assumptions!B46,Assumptions!C46,Assumptions!D46)</f>
        <v/>
      </c>
      <c r="Q5" s="3">
        <f>CHOOSE(Assumptions!B50,Assumptions!B46,Assumptions!C46,Assumptions!D46)</f>
        <v/>
      </c>
      <c r="R5" s="3">
        <f>CHOOSE(Assumptions!B50,Assumptions!B47,Assumptions!C47,Assumptions!D47)</f>
        <v/>
      </c>
      <c r="S5" s="3">
        <f>CHOOSE(Assumptions!B50,Assumptions!B47,Assumptions!C47,Assumptions!D47)</f>
        <v/>
      </c>
      <c r="T5" s="3">
        <f>CHOOSE(Assumptions!B50,Assumptions!B47,Assumptions!C47,Assumptions!D47)</f>
        <v/>
      </c>
      <c r="U5" s="3">
        <f>CHOOSE(Assumptions!B50,Assumptions!B47,Assumptions!C47,Assumptions!D47)</f>
        <v/>
      </c>
      <c r="V5" s="3">
        <f>CHOOSE(Assumptions!B50,Assumptions!B47,Assumptions!C47,Assumptions!D47)</f>
        <v/>
      </c>
    </row>
    <row r="6">
      <c r="A6" t="inlineStr">
        <is>
          <t>Revenue ($000s)</t>
        </is>
      </c>
      <c r="B6" s="2">
        <f>Assumptions!D6</f>
        <v/>
      </c>
      <c r="C6" s="2">
        <f>B6*(1+C5)</f>
        <v/>
      </c>
      <c r="D6" s="2">
        <f>C6*(1+D5)</f>
        <v/>
      </c>
      <c r="E6" s="2">
        <f>D6*(1+E5)</f>
        <v/>
      </c>
      <c r="F6" s="2">
        <f>E6*(1+F5)</f>
        <v/>
      </c>
      <c r="G6" s="2">
        <f>F6*(1+G5)</f>
        <v/>
      </c>
      <c r="H6" s="2">
        <f>G6*(1+H5)</f>
        <v/>
      </c>
      <c r="I6" s="2">
        <f>H6*(1+I5)</f>
        <v/>
      </c>
      <c r="J6" s="2">
        <f>I6*(1+J5)</f>
        <v/>
      </c>
      <c r="K6" s="2">
        <f>J6*(1+K5)</f>
        <v/>
      </c>
      <c r="L6" s="2">
        <f>K6*(1+L5)</f>
        <v/>
      </c>
      <c r="M6" s="2">
        <f>L6*(1+M5)</f>
        <v/>
      </c>
      <c r="N6" s="2">
        <f>M6*(1+N5)</f>
        <v/>
      </c>
      <c r="O6" s="2">
        <f>N6*(1+O5)</f>
        <v/>
      </c>
      <c r="P6" s="2">
        <f>O6*(1+P5)</f>
        <v/>
      </c>
      <c r="Q6" s="2">
        <f>P6*(1+Q5)</f>
        <v/>
      </c>
      <c r="R6" s="2">
        <f>Q6*(1+R5)</f>
        <v/>
      </c>
      <c r="S6" s="2">
        <f>R6*(1+S5)</f>
        <v/>
      </c>
      <c r="T6" s="2">
        <f>S6*(1+T5)</f>
        <v/>
      </c>
      <c r="U6" s="2">
        <f>T6*(1+U5)</f>
        <v/>
      </c>
      <c r="V6" s="2">
        <f>U6*(1+V5)</f>
        <v/>
      </c>
    </row>
    <row r="7">
      <c r="A7" s="1" t="inlineStr">
        <is>
          <t>B.  INCOME STATEMENT PROJECTION</t>
        </is>
      </c>
    </row>
    <row r="8">
      <c r="A8" t="inlineStr">
        <is>
          <t xml:space="preserve">   Gross Margin %</t>
        </is>
      </c>
      <c r="B8" s="3">
        <f>Assumptions!D9</f>
        <v/>
      </c>
      <c r="C8" s="3">
        <f>CHOOSE(Assumptions!B50,Assumptions!B54,Assumptions!C54,Assumptions!D54)</f>
        <v/>
      </c>
      <c r="D8" s="3">
        <f>CHOOSE(Assumptions!B50,Assumptions!B55,Assumptions!C55,Assumptions!D55)</f>
        <v/>
      </c>
      <c r="E8" s="3">
        <f>CHOOSE(Assumptions!B50,Assumptions!B56,Assumptions!C56,Assumptions!D56)</f>
        <v/>
      </c>
      <c r="F8" s="3">
        <f>CHOOSE(Assumptions!B50,Assumptions!B57,Assumptions!C57,Assumptions!D57)</f>
        <v/>
      </c>
      <c r="G8" s="3">
        <f>CHOOSE(Assumptions!B50,Assumptions!B58,Assumptions!C58,Assumptions!D58)</f>
        <v/>
      </c>
      <c r="H8" s="3">
        <f>CHOOSE(Assumptions!B50,Assumptions!B59,Assumptions!C59,Assumptions!D59)</f>
        <v/>
      </c>
      <c r="I8" s="3">
        <f>CHOOSE(Assumptions!B50,Assumptions!B59,Assumptions!C59,Assumptions!D59)</f>
        <v/>
      </c>
      <c r="J8" s="3">
        <f>CHOOSE(Assumptions!B50,Assumptions!B59,Assumptions!C59,Assumptions!D59)</f>
        <v/>
      </c>
      <c r="K8" s="3">
        <f>CHOOSE(Assumptions!B50,Assumptions!B59,Assumptions!C59,Assumptions!D59)</f>
        <v/>
      </c>
      <c r="L8" s="3">
        <f>CHOOSE(Assumptions!B50,Assumptions!B59,Assumptions!C59,Assumptions!D59)</f>
        <v/>
      </c>
      <c r="M8" s="3">
        <f>CHOOSE(Assumptions!B50,Assumptions!B60,Assumptions!C60,Assumptions!D60)</f>
        <v/>
      </c>
      <c r="N8" s="3">
        <f>CHOOSE(Assumptions!B50,Assumptions!B60,Assumptions!C60,Assumptions!D60)</f>
        <v/>
      </c>
      <c r="O8" s="3">
        <f>CHOOSE(Assumptions!B50,Assumptions!B60,Assumptions!C60,Assumptions!D60)</f>
        <v/>
      </c>
      <c r="P8" s="3">
        <f>CHOOSE(Assumptions!B50,Assumptions!B60,Assumptions!C60,Assumptions!D60)</f>
        <v/>
      </c>
      <c r="Q8" s="3">
        <f>CHOOSE(Assumptions!B50,Assumptions!B60,Assumptions!C60,Assumptions!D60)</f>
        <v/>
      </c>
      <c r="R8" s="3">
        <f>CHOOSE(Assumptions!B50,Assumptions!B60,Assumptions!C60,Assumptions!D60)</f>
        <v/>
      </c>
      <c r="S8" s="3">
        <f>CHOOSE(Assumptions!B50,Assumptions!B60,Assumptions!C60,Assumptions!D60)</f>
        <v/>
      </c>
      <c r="T8" s="3">
        <f>CHOOSE(Assumptions!B50,Assumptions!B60,Assumptions!C60,Assumptions!D60)</f>
        <v/>
      </c>
      <c r="U8" s="3">
        <f>CHOOSE(Assumptions!B50,Assumptions!B60,Assumptions!C60,Assumptions!D60)</f>
        <v/>
      </c>
      <c r="V8" s="3">
        <f>CHOOSE(Assumptions!B50,Assumptions!B60,Assumptions!C60,Assumptions!D60)</f>
        <v/>
      </c>
    </row>
    <row r="9">
      <c r="A9" t="inlineStr">
        <is>
          <t xml:space="preserve">   Gross Profit ($000s)</t>
        </is>
      </c>
      <c r="B9" s="2">
        <f>Assumptions!D8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>
        <f>H6*H8</f>
        <v/>
      </c>
      <c r="I9" s="2">
        <f>I6*I8</f>
        <v/>
      </c>
      <c r="J9" s="2">
        <f>J6*J8</f>
        <v/>
      </c>
      <c r="K9" s="2">
        <f>K6*K8</f>
        <v/>
      </c>
      <c r="L9" s="2">
        <f>L6*L8</f>
        <v/>
      </c>
      <c r="M9" s="2">
        <f>M6*M8</f>
        <v/>
      </c>
      <c r="N9" s="2">
        <f>N6*N8</f>
        <v/>
      </c>
      <c r="O9" s="2">
        <f>O6*O8</f>
        <v/>
      </c>
      <c r="P9" s="2">
        <f>P6*P8</f>
        <v/>
      </c>
      <c r="Q9" s="2">
        <f>Q6*Q8</f>
        <v/>
      </c>
      <c r="R9" s="2">
        <f>R6*R8</f>
        <v/>
      </c>
      <c r="S9" s="2">
        <f>S6*S8</f>
        <v/>
      </c>
      <c r="T9" s="2">
        <f>T6*T8</f>
        <v/>
      </c>
      <c r="U9" s="2">
        <f>U6*U8</f>
        <v/>
      </c>
      <c r="V9" s="2">
        <f>V6*V8</f>
        <v/>
      </c>
    </row>
    <row r="10">
      <c r="A10" t="inlineStr">
        <is>
          <t xml:space="preserve">   SG&amp;A as % Revenue</t>
        </is>
      </c>
      <c r="B10" s="3">
        <f>Assumptions!D10/Assumptions!D6</f>
        <v/>
      </c>
      <c r="C10" s="3">
        <f>CHOOSE(Assumptions!B50,Assumptions!B61,Assumptions!C61,Assumptions!D61)</f>
        <v/>
      </c>
      <c r="D10" s="3">
        <f>CHOOSE(Assumptions!B50,Assumptions!B62,Assumptions!C62,Assumptions!D62)</f>
        <v/>
      </c>
      <c r="E10" s="3">
        <f>CHOOSE(Assumptions!B50,Assumptions!B63,Assumptions!C63,Assumptions!D63)</f>
        <v/>
      </c>
      <c r="F10" s="3">
        <f>CHOOSE(Assumptions!B50,Assumptions!B64,Assumptions!C64,Assumptions!D64)</f>
        <v/>
      </c>
      <c r="G10" s="3">
        <f>CHOOSE(Assumptions!B50,Assumptions!B65,Assumptions!C65,Assumptions!D65)</f>
        <v/>
      </c>
      <c r="H10" s="3">
        <f>CHOOSE(Assumptions!B50,Assumptions!B66,Assumptions!C66,Assumptions!D66)</f>
        <v/>
      </c>
      <c r="I10" s="3">
        <f>CHOOSE(Assumptions!B50,Assumptions!B66,Assumptions!C66,Assumptions!D66)</f>
        <v/>
      </c>
      <c r="J10" s="3">
        <f>CHOOSE(Assumptions!B50,Assumptions!B66,Assumptions!C66,Assumptions!D66)</f>
        <v/>
      </c>
      <c r="K10" s="3">
        <f>CHOOSE(Assumptions!B50,Assumptions!B66,Assumptions!C66,Assumptions!D66)</f>
        <v/>
      </c>
      <c r="L10" s="3">
        <f>CHOOSE(Assumptions!B50,Assumptions!B66,Assumptions!C66,Assumptions!D66)</f>
        <v/>
      </c>
      <c r="M10" s="3">
        <f>CHOOSE(Assumptions!B50,Assumptions!B67,Assumptions!C67,Assumptions!D67)</f>
        <v/>
      </c>
      <c r="N10" s="3">
        <f>CHOOSE(Assumptions!B50,Assumptions!B67,Assumptions!C67,Assumptions!D67)</f>
        <v/>
      </c>
      <c r="O10" s="3">
        <f>CHOOSE(Assumptions!B50,Assumptions!B67,Assumptions!C67,Assumptions!D67)</f>
        <v/>
      </c>
      <c r="P10" s="3">
        <f>CHOOSE(Assumptions!B50,Assumptions!B67,Assumptions!C67,Assumptions!D67)</f>
        <v/>
      </c>
      <c r="Q10" s="3">
        <f>CHOOSE(Assumptions!B50,Assumptions!B67,Assumptions!C67,Assumptions!D67)</f>
        <v/>
      </c>
      <c r="R10" s="3">
        <f>CHOOSE(Assumptions!B50,Assumptions!B67,Assumptions!C67,Assumptions!D67)</f>
        <v/>
      </c>
      <c r="S10" s="3">
        <f>CHOOSE(Assumptions!B50,Assumptions!B67,Assumptions!C67,Assumptions!D67)</f>
        <v/>
      </c>
      <c r="T10" s="3">
        <f>CHOOSE(Assumptions!B50,Assumptions!B67,Assumptions!C67,Assumptions!D67)</f>
        <v/>
      </c>
      <c r="U10" s="3">
        <f>CHOOSE(Assumptions!B50,Assumptions!B67,Assumptions!C67,Assumptions!D67)</f>
        <v/>
      </c>
      <c r="V10" s="3">
        <f>CHOOSE(Assumptions!B50,Assumptions!B67,Assumptions!C67,Assumptions!D67)</f>
        <v/>
      </c>
    </row>
    <row r="11">
      <c r="A11" t="inlineStr">
        <is>
          <t xml:space="preserve">   SG&amp;A ($000s)</t>
        </is>
      </c>
      <c r="B11" s="2">
        <f>Assumptions!D10</f>
        <v/>
      </c>
      <c r="C11" s="2">
        <f>C6*C10</f>
        <v/>
      </c>
      <c r="D11" s="2">
        <f>D6*D10</f>
        <v/>
      </c>
      <c r="E11" s="2">
        <f>E6*E10</f>
        <v/>
      </c>
      <c r="F11" s="2">
        <f>F6*F10</f>
        <v/>
      </c>
      <c r="G11" s="2">
        <f>G6*G10</f>
        <v/>
      </c>
      <c r="H11" s="2">
        <f>H6*H10</f>
        <v/>
      </c>
      <c r="I11" s="2">
        <f>I6*I10</f>
        <v/>
      </c>
      <c r="J11" s="2">
        <f>J6*J10</f>
        <v/>
      </c>
      <c r="K11" s="2">
        <f>K6*K10</f>
        <v/>
      </c>
      <c r="L11" s="2">
        <f>L6*L10</f>
        <v/>
      </c>
      <c r="M11" s="2">
        <f>M6*M10</f>
        <v/>
      </c>
      <c r="N11" s="2">
        <f>N6*N10</f>
        <v/>
      </c>
      <c r="O11" s="2">
        <f>O6*O10</f>
        <v/>
      </c>
      <c r="P11" s="2">
        <f>P6*P10</f>
        <v/>
      </c>
      <c r="Q11" s="2">
        <f>Q6*Q10</f>
        <v/>
      </c>
      <c r="R11" s="2">
        <f>R6*R10</f>
        <v/>
      </c>
      <c r="S11" s="2">
        <f>S6*S10</f>
        <v/>
      </c>
      <c r="T11" s="2">
        <f>T6*T10</f>
        <v/>
      </c>
      <c r="U11" s="2">
        <f>U6*U10</f>
        <v/>
      </c>
      <c r="V11" s="2">
        <f>V6*V10</f>
        <v/>
      </c>
    </row>
    <row r="12">
      <c r="A12" t="inlineStr">
        <is>
          <t xml:space="preserve">   R&amp;D as % Revenue</t>
        </is>
      </c>
      <c r="B12" s="3">
        <f>Assumptions!D11/Assumptions!D6</f>
        <v/>
      </c>
      <c r="C12" s="3">
        <f>CHOOSE(Assumptions!B50,Assumptions!B68,Assumptions!C68,Assumptions!D68)</f>
        <v/>
      </c>
      <c r="D12" s="3">
        <f>CHOOSE(Assumptions!B50,Assumptions!B68,Assumptions!C68,Assumptions!D68)</f>
        <v/>
      </c>
      <c r="E12" s="3">
        <f>CHOOSE(Assumptions!B50,Assumptions!B68,Assumptions!C68,Assumptions!D68)</f>
        <v/>
      </c>
      <c r="F12" s="3">
        <f>CHOOSE(Assumptions!B50,Assumptions!B68,Assumptions!C68,Assumptions!D68)</f>
        <v/>
      </c>
      <c r="G12" s="3">
        <f>CHOOSE(Assumptions!B50,Assumptions!B68,Assumptions!C68,Assumptions!D68)</f>
        <v/>
      </c>
      <c r="H12" s="3">
        <f>CHOOSE(Assumptions!B50,Assumptions!B68,Assumptions!C68,Assumptions!D68)</f>
        <v/>
      </c>
      <c r="I12" s="3">
        <f>CHOOSE(Assumptions!B50,Assumptions!B68,Assumptions!C68,Assumptions!D68)</f>
        <v/>
      </c>
      <c r="J12" s="3">
        <f>CHOOSE(Assumptions!B50,Assumptions!B68,Assumptions!C68,Assumptions!D68)</f>
        <v/>
      </c>
      <c r="K12" s="3">
        <f>CHOOSE(Assumptions!B50,Assumptions!B68,Assumptions!C68,Assumptions!D68)</f>
        <v/>
      </c>
      <c r="L12" s="3">
        <f>CHOOSE(Assumptions!B50,Assumptions!B68,Assumptions!C68,Assumptions!D68)</f>
        <v/>
      </c>
      <c r="M12" s="3">
        <f>CHOOSE(Assumptions!B50,Assumptions!B68,Assumptions!C68,Assumptions!D68)</f>
        <v/>
      </c>
      <c r="N12" s="3">
        <f>CHOOSE(Assumptions!B50,Assumptions!B68,Assumptions!C68,Assumptions!D68)</f>
        <v/>
      </c>
      <c r="O12" s="3">
        <f>CHOOSE(Assumptions!B50,Assumptions!B68,Assumptions!C68,Assumptions!D68)</f>
        <v/>
      </c>
      <c r="P12" s="3">
        <f>CHOOSE(Assumptions!B50,Assumptions!B68,Assumptions!C68,Assumptions!D68)</f>
        <v/>
      </c>
      <c r="Q12" s="3">
        <f>CHOOSE(Assumptions!B50,Assumptions!B68,Assumptions!C68,Assumptions!D68)</f>
        <v/>
      </c>
      <c r="R12" s="3">
        <f>CHOOSE(Assumptions!B50,Assumptions!B68,Assumptions!C68,Assumptions!D68)</f>
        <v/>
      </c>
      <c r="S12" s="3">
        <f>CHOOSE(Assumptions!B50,Assumptions!B68,Assumptions!C68,Assumptions!D68)</f>
        <v/>
      </c>
      <c r="T12" s="3">
        <f>CHOOSE(Assumptions!B50,Assumptions!B68,Assumptions!C68,Assumptions!D68)</f>
        <v/>
      </c>
      <c r="U12" s="3">
        <f>CHOOSE(Assumptions!B50,Assumptions!B68,Assumptions!C68,Assumptions!D68)</f>
        <v/>
      </c>
      <c r="V12" s="3">
        <f>CHOOSE(Assumptions!B50,Assumptions!B68,Assumptions!C68,Assumptions!D68)</f>
        <v/>
      </c>
    </row>
    <row r="13">
      <c r="A13" t="inlineStr">
        <is>
          <t xml:space="preserve">   R&amp;D ($000s)</t>
        </is>
      </c>
      <c r="B13" s="2">
        <f>Assumptions!D11</f>
        <v/>
      </c>
      <c r="C13" s="2">
        <f>C6*C12</f>
        <v/>
      </c>
      <c r="D13" s="2">
        <f>D6*D12</f>
        <v/>
      </c>
      <c r="E13" s="2">
        <f>E6*E12</f>
        <v/>
      </c>
      <c r="F13" s="2">
        <f>F6*F12</f>
        <v/>
      </c>
      <c r="G13" s="2">
        <f>G6*G12</f>
        <v/>
      </c>
      <c r="H13" s="2">
        <f>H6*H12</f>
        <v/>
      </c>
      <c r="I13" s="2">
        <f>I6*I12</f>
        <v/>
      </c>
      <c r="J13" s="2">
        <f>J6*J12</f>
        <v/>
      </c>
      <c r="K13" s="2">
        <f>K6*K12</f>
        <v/>
      </c>
      <c r="L13" s="2">
        <f>L6*L12</f>
        <v/>
      </c>
      <c r="M13" s="2">
        <f>M6*M12</f>
        <v/>
      </c>
      <c r="N13" s="2">
        <f>N6*N12</f>
        <v/>
      </c>
      <c r="O13" s="2">
        <f>O6*O12</f>
        <v/>
      </c>
      <c r="P13" s="2">
        <f>P6*P12</f>
        <v/>
      </c>
      <c r="Q13" s="2">
        <f>Q6*Q12</f>
        <v/>
      </c>
      <c r="R13" s="2">
        <f>R6*R12</f>
        <v/>
      </c>
      <c r="S13" s="2">
        <f>S6*S12</f>
        <v/>
      </c>
      <c r="T13" s="2">
        <f>T6*T12</f>
        <v/>
      </c>
      <c r="U13" s="2">
        <f>U6*U12</f>
        <v/>
      </c>
      <c r="V13" s="2">
        <f>V6*V12</f>
        <v/>
      </c>
    </row>
    <row r="14">
      <c r="A14" s="1" t="inlineStr">
        <is>
          <t>EBIT ($000s)</t>
        </is>
      </c>
      <c r="B14" s="2">
        <f>Assumptions!D12</f>
        <v/>
      </c>
      <c r="C14" s="2">
        <f>C9-C11-C13</f>
        <v/>
      </c>
      <c r="D14" s="2">
        <f>D9-D11-D13</f>
        <v/>
      </c>
      <c r="E14" s="2">
        <f>E9-E11-E13</f>
        <v/>
      </c>
      <c r="F14" s="2">
        <f>F9-F11-F13</f>
        <v/>
      </c>
      <c r="G14" s="2">
        <f>G9-G11-G13</f>
        <v/>
      </c>
      <c r="H14" s="2">
        <f>H9-H11-H13</f>
        <v/>
      </c>
      <c r="I14" s="2">
        <f>I9-I11-I13</f>
        <v/>
      </c>
      <c r="J14" s="2">
        <f>J9-J11-J13</f>
        <v/>
      </c>
      <c r="K14" s="2">
        <f>K9-K11-K13</f>
        <v/>
      </c>
      <c r="L14" s="2">
        <f>L9-L11-L13</f>
        <v/>
      </c>
      <c r="M14" s="2">
        <f>M9-M11-M13</f>
        <v/>
      </c>
      <c r="N14" s="2">
        <f>N9-N11-N13</f>
        <v/>
      </c>
      <c r="O14" s="2">
        <f>O9-O11-O13</f>
        <v/>
      </c>
      <c r="P14" s="2">
        <f>P9-P11-P13</f>
        <v/>
      </c>
      <c r="Q14" s="2">
        <f>Q9-Q11-Q13</f>
        <v/>
      </c>
      <c r="R14" s="2">
        <f>R9-R11-R13</f>
        <v/>
      </c>
      <c r="S14" s="2">
        <f>S9-S11-S13</f>
        <v/>
      </c>
      <c r="T14" s="2">
        <f>T9-T11-T13</f>
        <v/>
      </c>
      <c r="U14" s="2">
        <f>U9-U11-U13</f>
        <v/>
      </c>
      <c r="V14" s="2">
        <f>V9-V11-V13</f>
        <v/>
      </c>
    </row>
    <row r="15">
      <c r="A15" t="inlineStr">
        <is>
          <t xml:space="preserve">   EBIT Margin %</t>
        </is>
      </c>
      <c r="B15" s="3">
        <f>Assumptions!D12/Assumptions!D6</f>
        <v/>
      </c>
      <c r="C15" s="3">
        <f>C14/C6</f>
        <v/>
      </c>
      <c r="D15" s="3">
        <f>D14/D6</f>
        <v/>
      </c>
      <c r="E15" s="3">
        <f>E14/E6</f>
        <v/>
      </c>
      <c r="F15" s="3">
        <f>F14/F6</f>
        <v/>
      </c>
      <c r="G15" s="3">
        <f>G14/G6</f>
        <v/>
      </c>
      <c r="H15" s="3">
        <f>H14/H6</f>
        <v/>
      </c>
      <c r="I15" s="3">
        <f>I14/I6</f>
        <v/>
      </c>
      <c r="J15" s="3">
        <f>J14/J6</f>
        <v/>
      </c>
      <c r="K15" s="3">
        <f>K14/K6</f>
        <v/>
      </c>
      <c r="L15" s="3">
        <f>L14/L6</f>
        <v/>
      </c>
      <c r="M15" s="3">
        <f>M14/M6</f>
        <v/>
      </c>
      <c r="N15" s="3">
        <f>N14/N6</f>
        <v/>
      </c>
      <c r="O15" s="3">
        <f>O14/O6</f>
        <v/>
      </c>
      <c r="P15" s="3">
        <f>P14/P6</f>
        <v/>
      </c>
      <c r="Q15" s="3">
        <f>Q14/Q6</f>
        <v/>
      </c>
      <c r="R15" s="3">
        <f>R14/R6</f>
        <v/>
      </c>
      <c r="S15" s="3">
        <f>S14/S6</f>
        <v/>
      </c>
      <c r="T15" s="3">
        <f>T14/T6</f>
        <v/>
      </c>
      <c r="U15" s="3">
        <f>U14/U6</f>
        <v/>
      </c>
      <c r="V15" s="3">
        <f>V14/V6</f>
        <v/>
      </c>
    </row>
    <row r="16">
      <c r="A16" t="inlineStr">
        <is>
          <t xml:space="preserve">   Cash Tax Rate (Active Scenario)</t>
        </is>
      </c>
      <c r="B16" s="3">
        <f>0</f>
        <v/>
      </c>
      <c r="C16" s="3">
        <f>CHOOSE(Assumptions!B50,Assumptions!B73,Assumptions!C73,Assumptions!D73)</f>
        <v/>
      </c>
      <c r="D16" s="3">
        <f>CHOOSE(Assumptions!B50,Assumptions!B73,Assumptions!C73,Assumptions!D73)</f>
        <v/>
      </c>
      <c r="E16" s="3">
        <f>CHOOSE(Assumptions!B50,Assumptions!B73,Assumptions!C73,Assumptions!D73)</f>
        <v/>
      </c>
      <c r="F16" s="3">
        <f>CHOOSE(Assumptions!B50,Assumptions!B73,Assumptions!C73,Assumptions!D73)</f>
        <v/>
      </c>
      <c r="G16" s="3">
        <f>CHOOSE(Assumptions!B50,Assumptions!B73,Assumptions!C73,Assumptions!D73)</f>
        <v/>
      </c>
      <c r="H16" s="3">
        <f>CHOOSE(Assumptions!B50,Assumptions!B73,Assumptions!C73,Assumptions!D73)</f>
        <v/>
      </c>
      <c r="I16" s="3">
        <f>CHOOSE(Assumptions!B50,Assumptions!B73,Assumptions!C73,Assumptions!D73)</f>
        <v/>
      </c>
      <c r="J16" s="3">
        <f>CHOOSE(Assumptions!B50,Assumptions!B73,Assumptions!C73,Assumptions!D73)</f>
        <v/>
      </c>
      <c r="K16" s="3">
        <f>CHOOSE(Assumptions!B50,Assumptions!B73,Assumptions!C73,Assumptions!D73)</f>
        <v/>
      </c>
      <c r="L16" s="3">
        <f>CHOOSE(Assumptions!B50,Assumptions!B73,Assumptions!C73,Assumptions!D73)</f>
        <v/>
      </c>
      <c r="M16" s="3">
        <f>CHOOSE(Assumptions!B50,Assumptions!B73,Assumptions!C73,Assumptions!D73)</f>
        <v/>
      </c>
      <c r="N16" s="3">
        <f>CHOOSE(Assumptions!B50,Assumptions!B73,Assumptions!C73,Assumptions!D73)</f>
        <v/>
      </c>
      <c r="O16" s="3">
        <f>CHOOSE(Assumptions!B50,Assumptions!B73,Assumptions!C73,Assumptions!D73)</f>
        <v/>
      </c>
      <c r="P16" s="3">
        <f>CHOOSE(Assumptions!B50,Assumptions!B73,Assumptions!C73,Assumptions!D73)</f>
        <v/>
      </c>
      <c r="Q16" s="3">
        <f>CHOOSE(Assumptions!B50,Assumptions!B73,Assumptions!C73,Assumptions!D73)</f>
        <v/>
      </c>
      <c r="R16" s="3">
        <f>CHOOSE(Assumptions!B50,Assumptions!B73,Assumptions!C73,Assumptions!D73)</f>
        <v/>
      </c>
      <c r="S16" s="3">
        <f>CHOOSE(Assumptions!B50,Assumptions!B73,Assumptions!C73,Assumptions!D73)</f>
        <v/>
      </c>
      <c r="T16" s="3">
        <f>CHOOSE(Assumptions!B50,Assumptions!B73,Assumptions!C73,Assumptions!D73)</f>
        <v/>
      </c>
      <c r="U16" s="3">
        <f>CHOOSE(Assumptions!B50,Assumptions!B73,Assumptions!C73,Assumptions!D73)</f>
        <v/>
      </c>
      <c r="V16" s="3">
        <f>CHOOSE(Assumptions!B50,Assumptions!B73,Assumptions!C73,Assumptions!D73)</f>
        <v/>
      </c>
    </row>
    <row r="17">
      <c r="A17" s="1" t="inlineStr">
        <is>
          <t>NOPAT = EBIT × (1 − Tax Rate) ($000s)</t>
        </is>
      </c>
      <c r="B17" s="2">
        <f>B14*(1-B16)</f>
        <v/>
      </c>
      <c r="C17" s="2">
        <f>C14*(1-C16)</f>
        <v/>
      </c>
      <c r="D17" s="2">
        <f>D14*(1-D16)</f>
        <v/>
      </c>
      <c r="E17" s="2">
        <f>E14*(1-E16)</f>
        <v/>
      </c>
      <c r="F17" s="2">
        <f>F14*(1-F16)</f>
        <v/>
      </c>
      <c r="G17" s="2">
        <f>G14*(1-G16)</f>
        <v/>
      </c>
      <c r="H17" s="2">
        <f>H14*(1-H16)</f>
        <v/>
      </c>
      <c r="I17" s="2">
        <f>I14*(1-I16)</f>
        <v/>
      </c>
      <c r="J17" s="2">
        <f>J14*(1-J16)</f>
        <v/>
      </c>
      <c r="K17" s="2">
        <f>K14*(1-K16)</f>
        <v/>
      </c>
      <c r="L17" s="2">
        <f>L14*(1-L16)</f>
        <v/>
      </c>
      <c r="M17" s="2">
        <f>M14*(1-M16)</f>
        <v/>
      </c>
      <c r="N17" s="2">
        <f>N14*(1-N16)</f>
        <v/>
      </c>
      <c r="O17" s="2">
        <f>O14*(1-O16)</f>
        <v/>
      </c>
      <c r="P17" s="2">
        <f>P14*(1-P16)</f>
        <v/>
      </c>
      <c r="Q17" s="2">
        <f>Q14*(1-Q16)</f>
        <v/>
      </c>
      <c r="R17" s="2">
        <f>R14*(1-R16)</f>
        <v/>
      </c>
      <c r="S17" s="2">
        <f>S14*(1-S16)</f>
        <v/>
      </c>
      <c r="T17" s="2">
        <f>T14*(1-T16)</f>
        <v/>
      </c>
      <c r="U17" s="2">
        <f>U14*(1-U16)</f>
        <v/>
      </c>
      <c r="V17" s="2">
        <f>V14*(1-V16)</f>
        <v/>
      </c>
    </row>
    <row r="18">
      <c r="A18" s="1" t="inlineStr">
        <is>
          <t>C.  UNLEVERED FREE CASH FLOW BUILD</t>
        </is>
      </c>
    </row>
    <row r="19">
      <c r="A19" t="inlineStr">
        <is>
          <t xml:space="preserve">   D&amp;A as % Revenue</t>
        </is>
      </c>
      <c r="B19" s="3">
        <f>Assumptions!D13/Assumptions!D6</f>
        <v/>
      </c>
      <c r="C19" s="3">
        <f>CHOOSE(Assumptions!B50,Assumptions!B69,Assumptions!C69,Assumptions!D69)</f>
        <v/>
      </c>
      <c r="D19" s="3">
        <f>CHOOSE(Assumptions!B50,Assumptions!B69,Assumptions!C69,Assumptions!D69)</f>
        <v/>
      </c>
      <c r="E19" s="3">
        <f>CHOOSE(Assumptions!B50,Assumptions!B69,Assumptions!C69,Assumptions!D69)</f>
        <v/>
      </c>
      <c r="F19" s="3">
        <f>CHOOSE(Assumptions!B50,Assumptions!B69,Assumptions!C69,Assumptions!D69)</f>
        <v/>
      </c>
      <c r="G19" s="3">
        <f>CHOOSE(Assumptions!B50,Assumptions!B69,Assumptions!C69,Assumptions!D69)</f>
        <v/>
      </c>
      <c r="H19" s="3">
        <f>CHOOSE(Assumptions!B50,Assumptions!B69,Assumptions!C69,Assumptions!D69)</f>
        <v/>
      </c>
      <c r="I19" s="3">
        <f>CHOOSE(Assumptions!B50,Assumptions!B69,Assumptions!C69,Assumptions!D69)</f>
        <v/>
      </c>
      <c r="J19" s="3">
        <f>CHOOSE(Assumptions!B50,Assumptions!B69,Assumptions!C69,Assumptions!D69)</f>
        <v/>
      </c>
      <c r="K19" s="3">
        <f>CHOOSE(Assumptions!B50,Assumptions!B69,Assumptions!C69,Assumptions!D69)</f>
        <v/>
      </c>
      <c r="L19" s="3">
        <f>CHOOSE(Assumptions!B50,Assumptions!B69,Assumptions!C69,Assumptions!D69)</f>
        <v/>
      </c>
      <c r="M19" s="3">
        <f>CHOOSE(Assumptions!B50,Assumptions!B69,Assumptions!C69,Assumptions!D69)</f>
        <v/>
      </c>
      <c r="N19" s="3">
        <f>CHOOSE(Assumptions!B50,Assumptions!B69,Assumptions!C69,Assumptions!D69)</f>
        <v/>
      </c>
      <c r="O19" s="3">
        <f>CHOOSE(Assumptions!B50,Assumptions!B69,Assumptions!C69,Assumptions!D69)</f>
        <v/>
      </c>
      <c r="P19" s="3">
        <f>CHOOSE(Assumptions!B50,Assumptions!B69,Assumptions!C69,Assumptions!D69)</f>
        <v/>
      </c>
      <c r="Q19" s="3">
        <f>CHOOSE(Assumptions!B50,Assumptions!B69,Assumptions!C69,Assumptions!D69)</f>
        <v/>
      </c>
      <c r="R19" s="3">
        <f>CHOOSE(Assumptions!B50,Assumptions!B69,Assumptions!C69,Assumptions!D69)</f>
        <v/>
      </c>
      <c r="S19" s="3">
        <f>CHOOSE(Assumptions!B50,Assumptions!B69,Assumptions!C69,Assumptions!D69)</f>
        <v/>
      </c>
      <c r="T19" s="3">
        <f>CHOOSE(Assumptions!B50,Assumptions!B69,Assumptions!C69,Assumptions!D69)</f>
        <v/>
      </c>
      <c r="U19" s="3">
        <f>CHOOSE(Assumptions!B50,Assumptions!B69,Assumptions!C69,Assumptions!D69)</f>
        <v/>
      </c>
      <c r="V19" s="3">
        <f>CHOOSE(Assumptions!B50,Assumptions!B69,Assumptions!C69,Assumptions!D69)</f>
        <v/>
      </c>
    </row>
    <row r="20">
      <c r="A20" t="inlineStr">
        <is>
          <t xml:space="preserve">   (+) D&amp;A ($000s)</t>
        </is>
      </c>
      <c r="B20" s="2">
        <f>Assumptions!D13</f>
        <v/>
      </c>
      <c r="C20" s="2">
        <f>C6*C19</f>
        <v/>
      </c>
      <c r="D20" s="2">
        <f>D6*D19</f>
        <v/>
      </c>
      <c r="E20" s="2">
        <f>E6*E19</f>
        <v/>
      </c>
      <c r="F20" s="2">
        <f>F6*F19</f>
        <v/>
      </c>
      <c r="G20" s="2">
        <f>G6*G19</f>
        <v/>
      </c>
      <c r="H20" s="2">
        <f>H6*H19</f>
        <v/>
      </c>
      <c r="I20" s="2">
        <f>I6*I19</f>
        <v/>
      </c>
      <c r="J20" s="2">
        <f>J6*J19</f>
        <v/>
      </c>
      <c r="K20" s="2">
        <f>K6*K19</f>
        <v/>
      </c>
      <c r="L20" s="2">
        <f>L6*L19</f>
        <v/>
      </c>
      <c r="M20" s="2">
        <f>M6*M19</f>
        <v/>
      </c>
      <c r="N20" s="2">
        <f>N6*N19</f>
        <v/>
      </c>
      <c r="O20" s="2">
        <f>O6*O19</f>
        <v/>
      </c>
      <c r="P20" s="2">
        <f>P6*P19</f>
        <v/>
      </c>
      <c r="Q20" s="2">
        <f>Q6*Q19</f>
        <v/>
      </c>
      <c r="R20" s="2">
        <f>R6*R19</f>
        <v/>
      </c>
      <c r="S20" s="2">
        <f>S6*S19</f>
        <v/>
      </c>
      <c r="T20" s="2">
        <f>T6*T19</f>
        <v/>
      </c>
      <c r="U20" s="2">
        <f>U6*U19</f>
        <v/>
      </c>
      <c r="V20" s="2">
        <f>V6*V19</f>
        <v/>
      </c>
    </row>
    <row r="21">
      <c r="A21" t="inlineStr">
        <is>
          <t xml:space="preserve">   CapEx as % Revenue</t>
        </is>
      </c>
      <c r="B21" s="3">
        <f>(Assumptions!D15+Assumptions!D16)/Assumptions!D6</f>
        <v/>
      </c>
      <c r="C21" s="3">
        <f>CHOOSE(Assumptions!B50,Assumptions!B70,Assumptions!C70,Assumptions!D70)</f>
        <v/>
      </c>
      <c r="D21" s="3">
        <f>CHOOSE(Assumptions!B50,Assumptions!B70,Assumptions!C70,Assumptions!D70)</f>
        <v/>
      </c>
      <c r="E21" s="3">
        <f>CHOOSE(Assumptions!B50,Assumptions!B70,Assumptions!C70,Assumptions!D70)</f>
        <v/>
      </c>
      <c r="F21" s="3">
        <f>CHOOSE(Assumptions!B50,Assumptions!B70,Assumptions!C70,Assumptions!D70)</f>
        <v/>
      </c>
      <c r="G21" s="3">
        <f>CHOOSE(Assumptions!B50,Assumptions!B70,Assumptions!C70,Assumptions!D70)</f>
        <v/>
      </c>
      <c r="H21" s="3">
        <f>CHOOSE(Assumptions!B50,Assumptions!B70,Assumptions!C70,Assumptions!D70)</f>
        <v/>
      </c>
      <c r="I21" s="3">
        <f>CHOOSE(Assumptions!B50,Assumptions!B70,Assumptions!C70,Assumptions!D70)</f>
        <v/>
      </c>
      <c r="J21" s="3">
        <f>CHOOSE(Assumptions!B50,Assumptions!B70,Assumptions!C70,Assumptions!D70)</f>
        <v/>
      </c>
      <c r="K21" s="3">
        <f>CHOOSE(Assumptions!B50,Assumptions!B70,Assumptions!C70,Assumptions!D70)</f>
        <v/>
      </c>
      <c r="L21" s="3">
        <f>CHOOSE(Assumptions!B50,Assumptions!B70,Assumptions!C70,Assumptions!D70)</f>
        <v/>
      </c>
      <c r="M21" s="3">
        <f>CHOOSE(Assumptions!B50,Assumptions!B70,Assumptions!C70,Assumptions!D70)</f>
        <v/>
      </c>
      <c r="N21" s="3">
        <f>CHOOSE(Assumptions!B50,Assumptions!B70,Assumptions!C70,Assumptions!D70)</f>
        <v/>
      </c>
      <c r="O21" s="3">
        <f>CHOOSE(Assumptions!B50,Assumptions!B70,Assumptions!C70,Assumptions!D70)</f>
        <v/>
      </c>
      <c r="P21" s="3">
        <f>CHOOSE(Assumptions!B50,Assumptions!B70,Assumptions!C70,Assumptions!D70)</f>
        <v/>
      </c>
      <c r="Q21" s="3">
        <f>CHOOSE(Assumptions!B50,Assumptions!B70,Assumptions!C70,Assumptions!D70)</f>
        <v/>
      </c>
      <c r="R21" s="3">
        <f>CHOOSE(Assumptions!B50,Assumptions!B70,Assumptions!C70,Assumptions!D70)</f>
        <v/>
      </c>
      <c r="S21" s="3">
        <f>CHOOSE(Assumptions!B50,Assumptions!B70,Assumptions!C70,Assumptions!D70)</f>
        <v/>
      </c>
      <c r="T21" s="3">
        <f>CHOOSE(Assumptions!B50,Assumptions!B70,Assumptions!C70,Assumptions!D70)</f>
        <v/>
      </c>
      <c r="U21" s="3">
        <f>CHOOSE(Assumptions!B50,Assumptions!B70,Assumptions!C70,Assumptions!D70)</f>
        <v/>
      </c>
      <c r="V21" s="3">
        <f>CHOOSE(Assumptions!B50,Assumptions!B70,Assumptions!C70,Assumptions!D70)</f>
        <v/>
      </c>
    </row>
    <row r="22">
      <c r="A22" t="inlineStr">
        <is>
          <t xml:space="preserve">   (−) CapEx + Capitalized Software ($000s)</t>
        </is>
      </c>
      <c r="B22" s="2">
        <f>Assumptions!D15+Assumptions!D16</f>
        <v/>
      </c>
      <c r="C22" s="2">
        <f>C6*C21</f>
        <v/>
      </c>
      <c r="D22" s="2">
        <f>D6*D21</f>
        <v/>
      </c>
      <c r="E22" s="2">
        <f>E6*E21</f>
        <v/>
      </c>
      <c r="F22" s="2">
        <f>F6*F21</f>
        <v/>
      </c>
      <c r="G22" s="2">
        <f>G6*G21</f>
        <v/>
      </c>
      <c r="H22" s="2">
        <f>H6*H21</f>
        <v/>
      </c>
      <c r="I22" s="2">
        <f>I6*I21</f>
        <v/>
      </c>
      <c r="J22" s="2">
        <f>J6*J21</f>
        <v/>
      </c>
      <c r="K22" s="2">
        <f>K6*K21</f>
        <v/>
      </c>
      <c r="L22" s="2">
        <f>L6*L21</f>
        <v/>
      </c>
      <c r="M22" s="2">
        <f>M6*M21</f>
        <v/>
      </c>
      <c r="N22" s="2">
        <f>N6*N21</f>
        <v/>
      </c>
      <c r="O22" s="2">
        <f>O6*O21</f>
        <v/>
      </c>
      <c r="P22" s="2">
        <f>P6*P21</f>
        <v/>
      </c>
      <c r="Q22" s="2">
        <f>Q6*Q21</f>
        <v/>
      </c>
      <c r="R22" s="2">
        <f>R6*R21</f>
        <v/>
      </c>
      <c r="S22" s="2">
        <f>S6*S21</f>
        <v/>
      </c>
      <c r="T22" s="2">
        <f>T6*T21</f>
        <v/>
      </c>
      <c r="U22" s="2">
        <f>U6*U21</f>
        <v/>
      </c>
      <c r="V22" s="2">
        <f>V6*V21</f>
        <v/>
      </c>
    </row>
    <row r="23">
      <c r="A23" t="inlineStr">
        <is>
          <t xml:space="preserve">   Δ NWC as % Revenue Change</t>
        </is>
      </c>
      <c r="B23" s="3">
        <f>0</f>
        <v/>
      </c>
      <c r="C23" s="3">
        <f>CHOOSE(Assumptions!B50,Assumptions!B72,Assumptions!C72,Assumptions!D72)</f>
        <v/>
      </c>
      <c r="D23" s="3">
        <f>CHOOSE(Assumptions!B50,Assumptions!B72,Assumptions!C72,Assumptions!D72)</f>
        <v/>
      </c>
      <c r="E23" s="3">
        <f>CHOOSE(Assumptions!B50,Assumptions!B72,Assumptions!C72,Assumptions!D72)</f>
        <v/>
      </c>
      <c r="F23" s="3">
        <f>CHOOSE(Assumptions!B50,Assumptions!B72,Assumptions!C72,Assumptions!D72)</f>
        <v/>
      </c>
      <c r="G23" s="3">
        <f>CHOOSE(Assumptions!B50,Assumptions!B72,Assumptions!C72,Assumptions!D72)</f>
        <v/>
      </c>
      <c r="H23" s="3">
        <f>CHOOSE(Assumptions!B50,Assumptions!B72,Assumptions!C72,Assumptions!D72)</f>
        <v/>
      </c>
      <c r="I23" s="3">
        <f>CHOOSE(Assumptions!B50,Assumptions!B72,Assumptions!C72,Assumptions!D72)</f>
        <v/>
      </c>
      <c r="J23" s="3">
        <f>CHOOSE(Assumptions!B50,Assumptions!B72,Assumptions!C72,Assumptions!D72)</f>
        <v/>
      </c>
      <c r="K23" s="3">
        <f>CHOOSE(Assumptions!B50,Assumptions!B72,Assumptions!C72,Assumptions!D72)</f>
        <v/>
      </c>
      <c r="L23" s="3">
        <f>CHOOSE(Assumptions!B50,Assumptions!B72,Assumptions!C72,Assumptions!D72)</f>
        <v/>
      </c>
      <c r="M23" s="3">
        <f>CHOOSE(Assumptions!B50,Assumptions!B72,Assumptions!C72,Assumptions!D72)</f>
        <v/>
      </c>
      <c r="N23" s="3">
        <f>CHOOSE(Assumptions!B50,Assumptions!B72,Assumptions!C72,Assumptions!D72)</f>
        <v/>
      </c>
      <c r="O23" s="3">
        <f>CHOOSE(Assumptions!B50,Assumptions!B72,Assumptions!C72,Assumptions!D72)</f>
        <v/>
      </c>
      <c r="P23" s="3">
        <f>CHOOSE(Assumptions!B50,Assumptions!B72,Assumptions!C72,Assumptions!D72)</f>
        <v/>
      </c>
      <c r="Q23" s="3">
        <f>CHOOSE(Assumptions!B50,Assumptions!B72,Assumptions!C72,Assumptions!D72)</f>
        <v/>
      </c>
      <c r="R23" s="3">
        <f>CHOOSE(Assumptions!B50,Assumptions!B72,Assumptions!C72,Assumptions!D72)</f>
        <v/>
      </c>
      <c r="S23" s="3">
        <f>CHOOSE(Assumptions!B50,Assumptions!B72,Assumptions!C72,Assumptions!D72)</f>
        <v/>
      </c>
      <c r="T23" s="3">
        <f>CHOOSE(Assumptions!B50,Assumptions!B72,Assumptions!C72,Assumptions!D72)</f>
        <v/>
      </c>
      <c r="U23" s="3">
        <f>CHOOSE(Assumptions!B50,Assumptions!B72,Assumptions!C72,Assumptions!D72)</f>
        <v/>
      </c>
      <c r="V23" s="3">
        <f>CHOOSE(Assumptions!B50,Assumptions!B72,Assumptions!C72,Assumptions!D72)</f>
        <v/>
      </c>
    </row>
    <row r="24">
      <c r="A24" t="inlineStr">
        <is>
          <t xml:space="preserve">   (−) Change in NWC ($000s)</t>
        </is>
      </c>
      <c r="B24" s="2">
        <f>0</f>
        <v/>
      </c>
      <c r="C24" s="2">
        <f>(C6-B6)*C23</f>
        <v/>
      </c>
      <c r="D24" s="2">
        <f>(D6-C6)*D23</f>
        <v/>
      </c>
      <c r="E24" s="2">
        <f>(E6-D6)*E23</f>
        <v/>
      </c>
      <c r="F24" s="2">
        <f>(F6-E6)*F23</f>
        <v/>
      </c>
      <c r="G24" s="2">
        <f>(G6-F6)*G23</f>
        <v/>
      </c>
      <c r="H24" s="2">
        <f>(H6-G6)*H23</f>
        <v/>
      </c>
      <c r="I24" s="2">
        <f>(I6-H6)*I23</f>
        <v/>
      </c>
      <c r="J24" s="2">
        <f>(J6-I6)*J23</f>
        <v/>
      </c>
      <c r="K24" s="2">
        <f>(K6-J6)*K23</f>
        <v/>
      </c>
      <c r="L24" s="2">
        <f>(L6-K6)*L23</f>
        <v/>
      </c>
      <c r="M24" s="2">
        <f>(M6-L6)*M23</f>
        <v/>
      </c>
      <c r="N24" s="2">
        <f>(N6-M6)*N23</f>
        <v/>
      </c>
      <c r="O24" s="2">
        <f>(O6-N6)*O23</f>
        <v/>
      </c>
      <c r="P24" s="2">
        <f>(P6-O6)*P23</f>
        <v/>
      </c>
      <c r="Q24" s="2">
        <f>(Q6-P6)*Q23</f>
        <v/>
      </c>
      <c r="R24" s="2">
        <f>(R6-Q6)*R23</f>
        <v/>
      </c>
      <c r="S24" s="2">
        <f>(S6-R6)*S23</f>
        <v/>
      </c>
      <c r="T24" s="2">
        <f>(T6-S6)*T23</f>
        <v/>
      </c>
      <c r="U24" s="2">
        <f>(U6-T6)*U23</f>
        <v/>
      </c>
      <c r="V24" s="2">
        <f>(V6-U6)*V23</f>
        <v/>
      </c>
    </row>
    <row r="25">
      <c r="A25" s="1" t="inlineStr">
        <is>
          <t>UNLEVERED FCF ($000s)</t>
        </is>
      </c>
      <c r="B25" s="2">
        <f>B17+B20-B22-B24</f>
        <v/>
      </c>
      <c r="C25" s="2">
        <f>C17+C20-C22-C24</f>
        <v/>
      </c>
      <c r="D25" s="2">
        <f>D17+D20-D22-D24</f>
        <v/>
      </c>
      <c r="E25" s="2">
        <f>E17+E20-E22-E24</f>
        <v/>
      </c>
      <c r="F25" s="2">
        <f>F17+F20-F22-F24</f>
        <v/>
      </c>
      <c r="G25" s="2">
        <f>G17+G20-G22-G24</f>
        <v/>
      </c>
      <c r="H25" s="2">
        <f>H17+H20-H22-H24</f>
        <v/>
      </c>
      <c r="I25" s="2">
        <f>I17+I20-I22-I24</f>
        <v/>
      </c>
      <c r="J25" s="2">
        <f>J17+J20-J22-J24</f>
        <v/>
      </c>
      <c r="K25" s="2">
        <f>K17+K20-K22-K24</f>
        <v/>
      </c>
      <c r="L25" s="2">
        <f>L17+L20-L22-L24</f>
        <v/>
      </c>
      <c r="M25" s="2">
        <f>M17+M20-M22-M24</f>
        <v/>
      </c>
      <c r="N25" s="2">
        <f>N17+N20-N22-N24</f>
        <v/>
      </c>
      <c r="O25" s="2">
        <f>O17+O20-O22-O24</f>
        <v/>
      </c>
      <c r="P25" s="2">
        <f>P17+P20-P22-P24</f>
        <v/>
      </c>
      <c r="Q25" s="2">
        <f>Q17+Q20-Q22-Q24</f>
        <v/>
      </c>
      <c r="R25" s="2">
        <f>R17+R20-R22-R24</f>
        <v/>
      </c>
      <c r="S25" s="2">
        <f>S17+S20-S22-S24</f>
        <v/>
      </c>
      <c r="T25" s="2">
        <f>T17+T20-T22-T24</f>
        <v/>
      </c>
      <c r="U25" s="2">
        <f>U17+U20-U22-U24</f>
        <v/>
      </c>
      <c r="V25" s="2">
        <f>V17+V20-V22-V24</f>
        <v/>
      </c>
    </row>
    <row r="26">
      <c r="A26" t="inlineStr">
        <is>
          <t xml:space="preserve">   UFCF Margin %</t>
        </is>
      </c>
      <c r="B26" s="3">
        <f>IF(B6&lt;&gt;0,B25/B6,0)</f>
        <v/>
      </c>
      <c r="C26" s="3">
        <f>IF(C6&lt;&gt;0,C25/C6,0)</f>
        <v/>
      </c>
      <c r="D26" s="3">
        <f>IF(D6&lt;&gt;0,D25/D6,0)</f>
        <v/>
      </c>
      <c r="E26" s="3">
        <f>IF(E6&lt;&gt;0,E25/E6,0)</f>
        <v/>
      </c>
      <c r="F26" s="3">
        <f>IF(F6&lt;&gt;0,F25/F6,0)</f>
        <v/>
      </c>
      <c r="G26" s="3">
        <f>IF(G6&lt;&gt;0,G25/G6,0)</f>
        <v/>
      </c>
      <c r="H26" s="3">
        <f>IF(H6&lt;&gt;0,H25/H6,0)</f>
        <v/>
      </c>
      <c r="I26" s="3">
        <f>IF(I6&lt;&gt;0,I25/I6,0)</f>
        <v/>
      </c>
      <c r="J26" s="3">
        <f>IF(J6&lt;&gt;0,J25/J6,0)</f>
        <v/>
      </c>
      <c r="K26" s="3">
        <f>IF(K6&lt;&gt;0,K25/K6,0)</f>
        <v/>
      </c>
      <c r="L26" s="3">
        <f>IF(L6&lt;&gt;0,L25/L6,0)</f>
        <v/>
      </c>
      <c r="M26" s="3">
        <f>IF(M6&lt;&gt;0,M25/M6,0)</f>
        <v/>
      </c>
      <c r="N26" s="3">
        <f>IF(N6&lt;&gt;0,N25/N6,0)</f>
        <v/>
      </c>
      <c r="O26" s="3">
        <f>IF(O6&lt;&gt;0,O25/O6,0)</f>
        <v/>
      </c>
      <c r="P26" s="3">
        <f>IF(P6&lt;&gt;0,P25/P6,0)</f>
        <v/>
      </c>
      <c r="Q26" s="3">
        <f>IF(Q6&lt;&gt;0,Q25/Q6,0)</f>
        <v/>
      </c>
      <c r="R26" s="3">
        <f>IF(R6&lt;&gt;0,R25/R6,0)</f>
        <v/>
      </c>
      <c r="S26" s="3">
        <f>IF(S6&lt;&gt;0,S25/S6,0)</f>
        <v/>
      </c>
      <c r="T26" s="3">
        <f>IF(T6&lt;&gt;0,T25/T6,0)</f>
        <v/>
      </c>
      <c r="U26" s="3">
        <f>IF(U6&lt;&gt;0,U25/U6,0)</f>
        <v/>
      </c>
      <c r="V26" s="3">
        <f>IF(V6&lt;&gt;0,V25/V6,0)</f>
        <v/>
      </c>
    </row>
    <row r="27">
      <c r="A27" s="1" t="inlineStr">
        <is>
          <t>D.  DISCOUNTING  (Mid-Year Convention)</t>
        </is>
      </c>
    </row>
    <row r="28">
      <c r="A28" t="inlineStr">
        <is>
          <t>WACC (Active Scenario)</t>
        </is>
      </c>
      <c r="B28" s="3">
        <f>CHOOSE(Assumptions!B50,Assumptions!B87,Assumptions!C87,Assumptions!D87)</f>
        <v/>
      </c>
      <c r="C28" s="3">
        <f>CHOOSE(Assumptions!B50,Assumptions!B87,Assumptions!C87,Assumptions!D87)</f>
        <v/>
      </c>
      <c r="D28" s="3">
        <f>CHOOSE(Assumptions!B50,Assumptions!B87,Assumptions!C87,Assumptions!D87)</f>
        <v/>
      </c>
      <c r="E28" s="3">
        <f>CHOOSE(Assumptions!B50,Assumptions!B87,Assumptions!C87,Assumptions!D87)</f>
        <v/>
      </c>
      <c r="F28" s="3">
        <f>CHOOSE(Assumptions!B50,Assumptions!B87,Assumptions!C87,Assumptions!D87)</f>
        <v/>
      </c>
      <c r="G28" s="3">
        <f>CHOOSE(Assumptions!B50,Assumptions!B87,Assumptions!C87,Assumptions!D87)</f>
        <v/>
      </c>
      <c r="H28" s="3">
        <f>CHOOSE(Assumptions!B50,Assumptions!B87,Assumptions!C87,Assumptions!D87)</f>
        <v/>
      </c>
      <c r="I28" s="3">
        <f>CHOOSE(Assumptions!B50,Assumptions!B87,Assumptions!C87,Assumptions!D87)</f>
        <v/>
      </c>
      <c r="J28" s="3">
        <f>CHOOSE(Assumptions!B50,Assumptions!B87,Assumptions!C87,Assumptions!D87)</f>
        <v/>
      </c>
      <c r="K28" s="3">
        <f>CHOOSE(Assumptions!B50,Assumptions!B87,Assumptions!C87,Assumptions!D87)</f>
        <v/>
      </c>
      <c r="L28" s="3">
        <f>CHOOSE(Assumptions!B50,Assumptions!B87,Assumptions!C87,Assumptions!D87)</f>
        <v/>
      </c>
      <c r="M28" s="3">
        <f>CHOOSE(Assumptions!B50,Assumptions!B87,Assumptions!C87,Assumptions!D87)</f>
        <v/>
      </c>
      <c r="N28" s="3">
        <f>CHOOSE(Assumptions!B50,Assumptions!B87,Assumptions!C87,Assumptions!D87)</f>
        <v/>
      </c>
      <c r="O28" s="3">
        <f>CHOOSE(Assumptions!B50,Assumptions!B87,Assumptions!C87,Assumptions!D87)</f>
        <v/>
      </c>
      <c r="P28" s="3">
        <f>CHOOSE(Assumptions!B50,Assumptions!B87,Assumptions!C87,Assumptions!D87)</f>
        <v/>
      </c>
      <c r="Q28" s="3">
        <f>CHOOSE(Assumptions!B50,Assumptions!B87,Assumptions!C87,Assumptions!D87)</f>
        <v/>
      </c>
      <c r="R28" s="3">
        <f>CHOOSE(Assumptions!B50,Assumptions!B87,Assumptions!C87,Assumptions!D87)</f>
        <v/>
      </c>
      <c r="S28" s="3">
        <f>CHOOSE(Assumptions!B50,Assumptions!B87,Assumptions!C87,Assumptions!D87)</f>
        <v/>
      </c>
      <c r="T28" s="3">
        <f>CHOOSE(Assumptions!B50,Assumptions!B87,Assumptions!C87,Assumptions!D87)</f>
        <v/>
      </c>
      <c r="U28" s="3">
        <f>CHOOSE(Assumptions!B50,Assumptions!B87,Assumptions!C87,Assumptions!D87)</f>
        <v/>
      </c>
      <c r="V28" s="3">
        <f>CHOOSE(Assumptions!B50,Assumptions!B87,Assumptions!C87,Assumptions!D87)</f>
        <v/>
      </c>
    </row>
    <row r="29">
      <c r="A29" t="inlineStr">
        <is>
          <t xml:space="preserve">   Discount Period (Mid-Year)</t>
        </is>
      </c>
      <c r="B29" t="inlineStr">
        <is>
          <t>—</t>
        </is>
      </c>
      <c r="C29" s="11">
        <f>1-0.5</f>
        <v/>
      </c>
      <c r="D29" s="11">
        <f>2-0.5</f>
        <v/>
      </c>
      <c r="E29" s="11">
        <f>3-0.5</f>
        <v/>
      </c>
      <c r="F29" s="11">
        <f>4-0.5</f>
        <v/>
      </c>
      <c r="G29" s="11">
        <f>5-0.5</f>
        <v/>
      </c>
      <c r="H29" s="11">
        <f>6-0.5</f>
        <v/>
      </c>
      <c r="I29" s="11">
        <f>7-0.5</f>
        <v/>
      </c>
      <c r="J29" s="11">
        <f>8-0.5</f>
        <v/>
      </c>
      <c r="K29" s="11">
        <f>9-0.5</f>
        <v/>
      </c>
      <c r="L29" s="11">
        <f>10-0.5</f>
        <v/>
      </c>
      <c r="M29" s="11">
        <f>11-0.5</f>
        <v/>
      </c>
      <c r="N29" s="11">
        <f>12-0.5</f>
        <v/>
      </c>
      <c r="O29" s="11">
        <f>13-0.5</f>
        <v/>
      </c>
      <c r="P29" s="11">
        <f>14-0.5</f>
        <v/>
      </c>
      <c r="Q29" s="11">
        <f>15-0.5</f>
        <v/>
      </c>
      <c r="R29" s="11">
        <f>16-0.5</f>
        <v/>
      </c>
      <c r="S29" s="11">
        <f>17-0.5</f>
        <v/>
      </c>
      <c r="T29" s="11">
        <f>18-0.5</f>
        <v/>
      </c>
      <c r="U29" s="11">
        <f>19-0.5</f>
        <v/>
      </c>
      <c r="V29" s="11">
        <f>20-0.5</f>
        <v/>
      </c>
    </row>
    <row r="30">
      <c r="A30" t="inlineStr">
        <is>
          <t xml:space="preserve">   Discount Factor</t>
        </is>
      </c>
      <c r="B30" t="inlineStr">
        <is>
          <t>—</t>
        </is>
      </c>
      <c r="C30" s="12">
        <f>1/(1+C28)^C29</f>
        <v/>
      </c>
      <c r="D30" s="12">
        <f>1/(1+D28)^D29</f>
        <v/>
      </c>
      <c r="E30" s="12">
        <f>1/(1+E28)^E29</f>
        <v/>
      </c>
      <c r="F30" s="12">
        <f>1/(1+F28)^F29</f>
        <v/>
      </c>
      <c r="G30" s="12">
        <f>1/(1+G28)^G29</f>
        <v/>
      </c>
      <c r="H30" s="12">
        <f>1/(1+H28)^H29</f>
        <v/>
      </c>
      <c r="I30" s="12">
        <f>1/(1+I28)^I29</f>
        <v/>
      </c>
      <c r="J30" s="12">
        <f>1/(1+J28)^J29</f>
        <v/>
      </c>
      <c r="K30" s="12">
        <f>1/(1+K28)^K29</f>
        <v/>
      </c>
      <c r="L30" s="12">
        <f>1/(1+L28)^L29</f>
        <v/>
      </c>
      <c r="M30" s="12">
        <f>1/(1+M28)^M29</f>
        <v/>
      </c>
      <c r="N30" s="12">
        <f>1/(1+N28)^N29</f>
        <v/>
      </c>
      <c r="O30" s="12">
        <f>1/(1+O28)^O29</f>
        <v/>
      </c>
      <c r="P30" s="12">
        <f>1/(1+P28)^P29</f>
        <v/>
      </c>
      <c r="Q30" s="12">
        <f>1/(1+Q28)^Q29</f>
        <v/>
      </c>
      <c r="R30" s="12">
        <f>1/(1+R28)^R29</f>
        <v/>
      </c>
      <c r="S30" s="12">
        <f>1/(1+S28)^S29</f>
        <v/>
      </c>
      <c r="T30" s="12">
        <f>1/(1+T28)^T29</f>
        <v/>
      </c>
      <c r="U30" s="12">
        <f>1/(1+U28)^U29</f>
        <v/>
      </c>
      <c r="V30" s="12">
        <f>1/(1+V28)^V29</f>
        <v/>
      </c>
    </row>
    <row r="31">
      <c r="A31" t="inlineStr">
        <is>
          <t xml:space="preserve">   PV of UFCF ($000s)</t>
        </is>
      </c>
      <c r="B31" t="inlineStr">
        <is>
          <t>—</t>
        </is>
      </c>
      <c r="C31" s="2">
        <f>C25*C30</f>
        <v/>
      </c>
      <c r="D31" s="2">
        <f>D25*D30</f>
        <v/>
      </c>
      <c r="E31" s="2">
        <f>E25*E30</f>
        <v/>
      </c>
      <c r="F31" s="2">
        <f>F25*F30</f>
        <v/>
      </c>
      <c r="G31" s="2">
        <f>G25*G30</f>
        <v/>
      </c>
      <c r="H31" s="2">
        <f>H25*H30</f>
        <v/>
      </c>
      <c r="I31" s="2">
        <f>I25*I30</f>
        <v/>
      </c>
      <c r="J31" s="2">
        <f>J25*J30</f>
        <v/>
      </c>
      <c r="K31" s="2">
        <f>K25*K30</f>
        <v/>
      </c>
      <c r="L31" s="2">
        <f>L25*L30</f>
        <v/>
      </c>
      <c r="M31" s="2">
        <f>M25*M30</f>
        <v/>
      </c>
      <c r="N31" s="2">
        <f>N25*N30</f>
        <v/>
      </c>
      <c r="O31" s="2">
        <f>O25*O30</f>
        <v/>
      </c>
      <c r="P31" s="2">
        <f>P25*P30</f>
        <v/>
      </c>
      <c r="Q31" s="2">
        <f>Q25*Q30</f>
        <v/>
      </c>
      <c r="R31" s="2">
        <f>R25*R30</f>
        <v/>
      </c>
      <c r="S31" s="2">
        <f>S25*S30</f>
        <v/>
      </c>
      <c r="T31" s="2">
        <f>T25*T30</f>
        <v/>
      </c>
      <c r="U31" s="2">
        <f>U25*U30</f>
        <v/>
      </c>
      <c r="V31" s="2">
        <f>V25*V30</f>
        <v/>
      </c>
    </row>
    <row r="32">
      <c r="A32" s="1" t="inlineStr">
        <is>
          <t>Sum of PV (UFCF) — Years 1–20 ($000s)</t>
        </is>
      </c>
      <c r="B32" s="2">
        <f>SUM(C31:V31)</f>
        <v/>
      </c>
    </row>
    <row r="33">
      <c r="A33" s="1" t="inlineStr">
        <is>
          <t>E.  TERMINAL VALUE  (Gordon Growth Model — Primary)</t>
        </is>
      </c>
    </row>
    <row r="34">
      <c r="A34" t="inlineStr">
        <is>
          <t xml:space="preserve">   Year 20 UFCF ($000s)</t>
        </is>
      </c>
      <c r="B34" s="2">
        <f>V25</f>
        <v/>
      </c>
    </row>
    <row r="35">
      <c r="A35" t="inlineStr">
        <is>
          <t xml:space="preserve">   Terminal Growth Rate (Active Scenario)</t>
        </is>
      </c>
      <c r="B35" s="3">
        <f>CHOOSE(Assumptions!B50,Assumptions!B92,Assumptions!C92,Assumptions!D92)</f>
        <v/>
      </c>
    </row>
    <row r="36">
      <c r="A36" t="inlineStr">
        <is>
          <t xml:space="preserve">   WACC (Active Scenario)</t>
        </is>
      </c>
      <c r="B36" s="3">
        <f>CHOOSE(Assumptions!B50,Assumptions!B87,Assumptions!C87,Assumptions!D87)</f>
        <v/>
      </c>
    </row>
    <row r="37">
      <c r="A37" s="1" t="inlineStr">
        <is>
          <t>Terminal Value (undiscounted) ($000s)</t>
        </is>
      </c>
      <c r="B37" s="2">
        <f>B34*(1+B35)/(B36-B35)</f>
        <v/>
      </c>
    </row>
    <row r="38">
      <c r="A38" t="inlineStr">
        <is>
          <t xml:space="preserve">   Terminal Value Discount Factor (Year 20)</t>
        </is>
      </c>
      <c r="B38" s="12">
        <f>1/(1+V28)^20</f>
        <v/>
      </c>
    </row>
    <row r="39">
      <c r="A39" s="1" t="inlineStr">
        <is>
          <t>PV of Terminal Value ($000s)</t>
        </is>
      </c>
      <c r="B39" s="2">
        <f>B37*B38</f>
        <v/>
      </c>
    </row>
    <row r="40">
      <c r="A40" t="inlineStr">
        <is>
          <t xml:space="preserve">   Terminal Value as % of Total Enterprise Value</t>
        </is>
      </c>
      <c r="B40" s="3">
        <f>B39/(B32+B39)</f>
        <v/>
      </c>
    </row>
    <row r="41">
      <c r="A41" t="inlineStr">
        <is>
          <t>Terminal Value Cross-Check: EV/EBITDA Exit Multiple</t>
        </is>
      </c>
    </row>
    <row r="42">
      <c r="A42" t="inlineStr">
        <is>
          <t xml:space="preserve">   Year 20 Revenue ($000s)</t>
        </is>
      </c>
      <c r="B42" s="2">
        <f>V6</f>
        <v/>
      </c>
    </row>
    <row r="43">
      <c r="A43" t="inlineStr">
        <is>
          <t xml:space="preserve">   Terminal EBITDA Margin (Active Scenario)</t>
        </is>
      </c>
      <c r="B43" s="3">
        <f>CHOOSE(Assumptions!B50,Assumptions!B94,Assumptions!C94,Assumptions!D94)</f>
        <v/>
      </c>
    </row>
    <row r="44">
      <c r="A44" t="inlineStr">
        <is>
          <t xml:space="preserve">   Implied Year 20 EBITDA ($000s)</t>
        </is>
      </c>
      <c r="B44" s="2">
        <f>B42*B43</f>
        <v/>
      </c>
    </row>
    <row r="45">
      <c r="A45" t="inlineStr">
        <is>
          <t xml:space="preserve">   Exit EV/EBITDA Multiple (Active Scenario)</t>
        </is>
      </c>
      <c r="B45" s="11">
        <f>CHOOSE(Assumptions!B50,Assumptions!B93,Assumptions!C93,Assumptions!D93)</f>
        <v/>
      </c>
    </row>
    <row r="46">
      <c r="A46" t="inlineStr">
        <is>
          <t xml:space="preserve">   Terminal Value — EV/EBITDA Method (undiscounted) ($000s)</t>
        </is>
      </c>
      <c r="B46" s="2">
        <f>B44*B45</f>
        <v/>
      </c>
    </row>
    <row r="47">
      <c r="A47" t="inlineStr">
        <is>
          <t xml:space="preserve">   PV of Terminal Value — EV/EBITDA Method ($000s)</t>
        </is>
      </c>
      <c r="B47" s="2">
        <f>B46*B38</f>
        <v/>
      </c>
    </row>
    <row r="48">
      <c r="A48" s="1" t="inlineStr">
        <is>
          <t>F.  ENTERPRISE VALUE  →  EQUITY VALUE  →  IMPLIED SHARE PRICE</t>
        </is>
      </c>
    </row>
    <row r="49">
      <c r="A49" s="1" t="inlineStr">
        <is>
          <t>Enterprise Value — Gordon Growth ($000s)</t>
        </is>
      </c>
      <c r="B49" s="2">
        <f>B32+B39</f>
        <v/>
      </c>
    </row>
    <row r="50">
      <c r="A50" t="inlineStr">
        <is>
          <t xml:space="preserve">   Enterprise Value — EV/EBITDA Cross-Check ($000s)</t>
        </is>
      </c>
      <c r="B50" s="2">
        <f>B32+B47</f>
        <v/>
      </c>
    </row>
    <row r="51">
      <c r="A51" t="inlineStr">
        <is>
          <t xml:space="preserve">   (−) Net Debt (if Debt &gt; Liquidity) ($000s)</t>
        </is>
      </c>
      <c r="B51" s="2">
        <f>MAX(0,Assumptions!C32-Assumptions!C27)</f>
        <v/>
      </c>
    </row>
    <row r="52">
      <c r="A52" t="inlineStr">
        <is>
          <t xml:space="preserve">   (+) Net Cash (if Liquidity &gt; Debt) ($000s)</t>
        </is>
      </c>
      <c r="B52" s="2">
        <f>MAX(0,Assumptions!C27-Assumptions!C32)</f>
        <v/>
      </c>
    </row>
    <row r="53">
      <c r="A53" s="1" t="inlineStr">
        <is>
          <t>Equity Value — Gordon Growth ($000s)</t>
        </is>
      </c>
      <c r="B53" s="2">
        <f>B49-B51+B52</f>
        <v/>
      </c>
    </row>
    <row r="54">
      <c r="A54" t="inlineStr">
        <is>
          <t xml:space="preserve">   Diluted Shares Outstanding</t>
        </is>
      </c>
      <c r="B54" s="2">
        <f>Assumptions!C34</f>
        <v/>
      </c>
    </row>
    <row r="55">
      <c r="A55" s="1" t="inlineStr">
        <is>
          <t>IMPLIED SHARE PRICE ($)</t>
        </is>
      </c>
      <c r="B55" s="13">
        <f>IF(B54&gt;0,(B53*1000)/B54,0)</f>
        <v/>
      </c>
    </row>
    <row r="57">
      <c r="A57" s="1" t="inlineStr">
        <is>
          <t>G.  SCENARIO SUMMARY  (Run each scenario by changing Active Scenario on Assumptions sheet)</t>
        </is>
      </c>
    </row>
    <row r="58">
      <c r="A58" s="1" t="inlineStr">
        <is>
          <t>Metric</t>
        </is>
      </c>
      <c r="B58" s="10" t="inlineStr">
        <is>
          <t>Base Case
(Scenario 1)</t>
        </is>
      </c>
      <c r="C58" s="10" t="inlineStr">
        <is>
          <t>Bull Case
(Scenario 2)</t>
        </is>
      </c>
      <c r="D58" s="10" t="inlineStr">
        <is>
          <t>Bear Case
(Scenario 3)</t>
        </is>
      </c>
    </row>
    <row r="59">
      <c r="A59" t="inlineStr">
        <is>
          <t>FY2026E Revenue ($000s)</t>
        </is>
      </c>
      <c r="B59" s="2">
        <f>B102</f>
        <v/>
      </c>
      <c r="C59" s="2">
        <f>C102</f>
        <v/>
      </c>
      <c r="D59" s="2">
        <f>D102</f>
        <v/>
      </c>
    </row>
    <row r="60">
      <c r="A60" t="inlineStr">
        <is>
          <t>FY2026E Revenue Growth %</t>
        </is>
      </c>
      <c r="B60" s="3">
        <f>Assumptions!B40</f>
        <v/>
      </c>
      <c r="C60" s="3">
        <f>Assumptions!C40</f>
        <v/>
      </c>
      <c r="D60" s="3">
        <f>Assumptions!D40</f>
        <v/>
      </c>
    </row>
    <row r="61">
      <c r="A61" t="inlineStr">
        <is>
          <t>FY2030E Revenue ($000s)</t>
        </is>
      </c>
      <c r="B61" s="2">
        <f>B106</f>
        <v/>
      </c>
      <c r="C61" s="2">
        <f>C106</f>
        <v/>
      </c>
      <c r="D61" s="2">
        <f>D106</f>
        <v/>
      </c>
    </row>
    <row r="62">
      <c r="A62" t="inlineStr">
        <is>
          <t>FY2045E Revenue ($000s)</t>
        </is>
      </c>
      <c r="B62" s="2">
        <f>B121</f>
        <v/>
      </c>
      <c r="C62" s="2">
        <f>C121</f>
        <v/>
      </c>
      <c r="D62" s="2">
        <f>D121</f>
        <v/>
      </c>
    </row>
    <row r="63">
      <c r="A63" t="inlineStr">
        <is>
          <t>FY2026E Gross Margin %</t>
        </is>
      </c>
      <c r="B63" s="3">
        <f>Assumptions!B54</f>
        <v/>
      </c>
      <c r="C63" s="3">
        <f>Assumptions!C54</f>
        <v/>
      </c>
      <c r="D63" s="3">
        <f>Assumptions!D54</f>
        <v/>
      </c>
    </row>
    <row r="64">
      <c r="A64" t="inlineStr">
        <is>
          <t>FY2026E EBIT ($000s)</t>
        </is>
      </c>
      <c r="B64" s="2">
        <f>B102*(Assumptions!B54-Assumptions!B61-Assumptions!B68)</f>
        <v/>
      </c>
      <c r="C64" s="2">
        <f>C102*(Assumptions!C54-Assumptions!C61-Assumptions!C68)</f>
        <v/>
      </c>
      <c r="D64" s="2">
        <f>D102*(Assumptions!D54-Assumptions!D61-Assumptions!D68)</f>
        <v/>
      </c>
    </row>
    <row r="65">
      <c r="A65" t="inlineStr">
        <is>
          <t>WACC</t>
        </is>
      </c>
      <c r="B65" s="3">
        <f>Assumptions!B87</f>
        <v/>
      </c>
      <c r="C65" s="3">
        <f>Assumptions!C87</f>
        <v/>
      </c>
      <c r="D65" s="3">
        <f>Assumptions!D87</f>
        <v/>
      </c>
    </row>
    <row r="66">
      <c r="A66" t="inlineStr">
        <is>
          <t>Terminal Growth Rate</t>
        </is>
      </c>
      <c r="B66" s="3">
        <f>Assumptions!B92</f>
        <v/>
      </c>
      <c r="C66" s="3">
        <f>Assumptions!C92</f>
        <v/>
      </c>
      <c r="D66" s="3">
        <f>Assumptions!D92</f>
        <v/>
      </c>
    </row>
    <row r="67">
      <c r="A67" t="inlineStr">
        <is>
          <t>Sum PV of FCFs ($000s)</t>
        </is>
      </c>
      <c r="B67" s="2">
        <f>B162</f>
        <v/>
      </c>
      <c r="C67" s="2">
        <f>C162</f>
        <v/>
      </c>
      <c r="D67" s="2">
        <f>D162</f>
        <v/>
      </c>
    </row>
    <row r="68">
      <c r="A68" t="inlineStr">
        <is>
          <t>PV of Terminal Value ($000s)</t>
        </is>
      </c>
      <c r="B68" s="2">
        <f>B164</f>
        <v/>
      </c>
      <c r="C68" s="2">
        <f>C164</f>
        <v/>
      </c>
      <c r="D68" s="2">
        <f>D164</f>
        <v/>
      </c>
    </row>
    <row r="69">
      <c r="A69" t="inlineStr">
        <is>
          <t>Enterprise Value ($000s)</t>
        </is>
      </c>
      <c r="B69" s="2">
        <f>B165</f>
        <v/>
      </c>
      <c r="C69" s="2">
        <f>C165</f>
        <v/>
      </c>
      <c r="D69" s="2">
        <f>D165</f>
        <v/>
      </c>
    </row>
    <row r="70">
      <c r="A70" t="inlineStr">
        <is>
          <t>Equity Value ($000s)</t>
        </is>
      </c>
      <c r="B70" s="2">
        <f>B166</f>
        <v/>
      </c>
      <c r="C70" s="2">
        <f>C166</f>
        <v/>
      </c>
      <c r="D70" s="2">
        <f>D166</f>
        <v/>
      </c>
    </row>
    <row r="71">
      <c r="A71" t="inlineStr">
        <is>
          <t>Implied Share Price ($)</t>
        </is>
      </c>
      <c r="B71" s="13">
        <f>B167</f>
        <v/>
      </c>
      <c r="C71" s="13">
        <f>C167</f>
        <v/>
      </c>
      <c r="D71" s="13">
        <f>D167</f>
        <v/>
      </c>
    </row>
    <row r="74">
      <c r="A74" s="1" t="inlineStr">
        <is>
          <t>H.  SENSITIVITY: Implied Share Price ($)  —  WACC vs Terminal Growth Rate  (Base Case)</t>
        </is>
      </c>
    </row>
    <row r="75">
      <c r="A75" s="1" t="inlineStr">
        <is>
          <t>WACC \ TGR →</t>
        </is>
      </c>
      <c r="B75" s="1" t="inlineStr">
        <is>
          <t>2.0%</t>
        </is>
      </c>
      <c r="C75" s="1" t="inlineStr">
        <is>
          <t>2.5%</t>
        </is>
      </c>
      <c r="D75" s="1" t="inlineStr">
        <is>
          <t>3.0%</t>
        </is>
      </c>
      <c r="E75" s="1" t="inlineStr">
        <is>
          <t>3.5%</t>
        </is>
      </c>
      <c r="F75" s="1" t="inlineStr">
        <is>
          <t>4.0%</t>
        </is>
      </c>
      <c r="G75" s="1" t="inlineStr">
        <is>
          <t>4.5%</t>
        </is>
      </c>
    </row>
    <row r="76">
      <c r="A76" s="1" t="inlineStr">
        <is>
          <t>10%</t>
        </is>
      </c>
      <c r="B76" s="13">
        <f>IF(0.1&gt;0.02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+0.02)/(0.1-0.02)/(1+0.1)^20-MAX(0,Assumptions!C32-Assumptions!C27)+MAX(0,Assumptions!C27-Assumptions!C32))*1000/Assumptions!C34,"-")</f>
        <v/>
      </c>
      <c r="C76" s="13">
        <f>IF(0.1&gt;0.025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+0.025)/(0.1-0.025)/(1+0.1)^20-MAX(0,Assumptions!C32-Assumptions!C27)+MAX(0,Assumptions!C27-Assumptions!C32))*1000/Assumptions!C34,"-")</f>
        <v/>
      </c>
      <c r="D76" s="13">
        <f>IF(0.1&gt;0.03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+0.03)/(0.1-0.03)/(1+0.1)^20-MAX(0,Assumptions!C32-Assumptions!C27)+MAX(0,Assumptions!C27-Assumptions!C32))*1000/Assumptions!C34,"-")</f>
        <v/>
      </c>
      <c r="E76" s="13">
        <f>IF(0.1&gt;0.035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+0.035)/(0.1-0.035)/(1+0.1)^20-MAX(0,Assumptions!C32-Assumptions!C27)+MAX(0,Assumptions!C27-Assumptions!C32))*1000/Assumptions!C34,"-")</f>
        <v/>
      </c>
      <c r="F76" s="13">
        <f>IF(0.1&gt;0.04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+0.04)/(0.1-0.04)/(1+0.1)^20-MAX(0,Assumptions!C32-Assumptions!C27)+MAX(0,Assumptions!C27-Assumptions!C32))*1000/Assumptions!C34,"-")</f>
        <v/>
      </c>
      <c r="G76" s="13">
        <f>IF(0.1&gt;0.045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+0.045)/(0.1-0.045)/(1+0.1)^20-MAX(0,Assumptions!C32-Assumptions!C27)+MAX(0,Assumptions!C27-Assumptions!C32))*1000/Assumptions!C34,"-")</f>
        <v/>
      </c>
    </row>
    <row r="77">
      <c r="A77" s="1" t="inlineStr">
        <is>
          <t>12%</t>
        </is>
      </c>
      <c r="B77" s="13">
        <f>IF(0.12&gt;0.02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+0.02)/(0.12-0.02)/(1+0.12)^20-MAX(0,Assumptions!C32-Assumptions!C27)+MAX(0,Assumptions!C27-Assumptions!C32))*1000/Assumptions!C34,"-")</f>
        <v/>
      </c>
      <c r="C77" s="13">
        <f>IF(0.12&gt;0.025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+0.025)/(0.12-0.025)/(1+0.12)^20-MAX(0,Assumptions!C32-Assumptions!C27)+MAX(0,Assumptions!C27-Assumptions!C32))*1000/Assumptions!C34,"-")</f>
        <v/>
      </c>
      <c r="D77" s="13">
        <f>IF(0.12&gt;0.03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+0.03)/(0.12-0.03)/(1+0.12)^20-MAX(0,Assumptions!C32-Assumptions!C27)+MAX(0,Assumptions!C27-Assumptions!C32))*1000/Assumptions!C34,"-")</f>
        <v/>
      </c>
      <c r="E77" s="13">
        <f>IF(0.12&gt;0.035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+0.035)/(0.12-0.035)/(1+0.12)^20-MAX(0,Assumptions!C32-Assumptions!C27)+MAX(0,Assumptions!C27-Assumptions!C32))*1000/Assumptions!C34,"-")</f>
        <v/>
      </c>
      <c r="F77" s="13">
        <f>IF(0.12&gt;0.04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+0.04)/(0.12-0.04)/(1+0.12)^20-MAX(0,Assumptions!C32-Assumptions!C27)+MAX(0,Assumptions!C27-Assumptions!C32))*1000/Assumptions!C34,"-")</f>
        <v/>
      </c>
      <c r="G77" s="13">
        <f>IF(0.12&gt;0.045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+0.045)/(0.12-0.045)/(1+0.12)^20-MAX(0,Assumptions!C32-Assumptions!C27)+MAX(0,Assumptions!C27-Assumptions!C32))*1000/Assumptions!C34,"-")</f>
        <v/>
      </c>
    </row>
    <row r="78">
      <c r="A78" s="1" t="inlineStr">
        <is>
          <t>14%</t>
        </is>
      </c>
      <c r="B78" s="13">
        <f>IF(0.14&gt;0.02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+0.02)/(0.14-0.02)/(1+0.14)^20-MAX(0,Assumptions!C32-Assumptions!C27)+MAX(0,Assumptions!C27-Assumptions!C32))*1000/Assumptions!C34,"-")</f>
        <v/>
      </c>
      <c r="C78" s="13">
        <f>IF(0.14&gt;0.025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+0.025)/(0.14-0.025)/(1+0.14)^20-MAX(0,Assumptions!C32-Assumptions!C27)+MAX(0,Assumptions!C27-Assumptions!C32))*1000/Assumptions!C34,"-")</f>
        <v/>
      </c>
      <c r="D78" s="13">
        <f>IF(0.14&gt;0.03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+0.03)/(0.14-0.03)/(1+0.14)^20-MAX(0,Assumptions!C32-Assumptions!C27)+MAX(0,Assumptions!C27-Assumptions!C32))*1000/Assumptions!C34,"-")</f>
        <v/>
      </c>
      <c r="E78" s="13">
        <f>IF(0.14&gt;0.035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+0.035)/(0.14-0.035)/(1+0.14)^20-MAX(0,Assumptions!C32-Assumptions!C27)+MAX(0,Assumptions!C27-Assumptions!C32))*1000/Assumptions!C34,"-")</f>
        <v/>
      </c>
      <c r="F78" s="13">
        <f>IF(0.14&gt;0.04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+0.04)/(0.14-0.04)/(1+0.14)^20-MAX(0,Assumptions!C32-Assumptions!C27)+MAX(0,Assumptions!C27-Assumptions!C32))*1000/Assumptions!C34,"-")</f>
        <v/>
      </c>
      <c r="G78" s="13">
        <f>IF(0.14&gt;0.045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+0.045)/(0.14-0.045)/(1+0.14)^20-MAX(0,Assumptions!C32-Assumptions!C27)+MAX(0,Assumptions!C27-Assumptions!C32))*1000/Assumptions!C34,"-")</f>
        <v/>
      </c>
    </row>
    <row r="79">
      <c r="A79" s="1" t="inlineStr">
        <is>
          <t>16%</t>
        </is>
      </c>
      <c r="B79" s="13">
        <f>IF(0.16&gt;0.02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+0.02)/(0.16-0.02)/(1+0.16)^20-MAX(0,Assumptions!C32-Assumptions!C27)+MAX(0,Assumptions!C27-Assumptions!C32))*1000/Assumptions!C34,"-")</f>
        <v/>
      </c>
      <c r="C79" s="13">
        <f>IF(0.16&gt;0.025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+0.025)/(0.16-0.025)/(1+0.16)^20-MAX(0,Assumptions!C32-Assumptions!C27)+MAX(0,Assumptions!C27-Assumptions!C32))*1000/Assumptions!C34,"-")</f>
        <v/>
      </c>
      <c r="D79" s="13">
        <f>IF(0.16&gt;0.03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+0.03)/(0.16-0.03)/(1+0.16)^20-MAX(0,Assumptions!C32-Assumptions!C27)+MAX(0,Assumptions!C27-Assumptions!C32))*1000/Assumptions!C34,"-")</f>
        <v/>
      </c>
      <c r="E79" s="13">
        <f>IF(0.16&gt;0.035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+0.035)/(0.16-0.035)/(1+0.16)^20-MAX(0,Assumptions!C32-Assumptions!C27)+MAX(0,Assumptions!C27-Assumptions!C32))*1000/Assumptions!C34,"-")</f>
        <v/>
      </c>
      <c r="F79" s="13">
        <f>IF(0.16&gt;0.04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+0.04)/(0.16-0.04)/(1+0.16)^20-MAX(0,Assumptions!C32-Assumptions!C27)+MAX(0,Assumptions!C27-Assumptions!C32))*1000/Assumptions!C34,"-")</f>
        <v/>
      </c>
      <c r="G79" s="13">
        <f>IF(0.16&gt;0.045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+0.045)/(0.16-0.045)/(1+0.16)^20-MAX(0,Assumptions!C32-Assumptions!C27)+MAX(0,Assumptions!C27-Assumptions!C32))*1000/Assumptions!C34,"-")</f>
        <v/>
      </c>
    </row>
    <row r="80">
      <c r="A80" s="1" t="inlineStr">
        <is>
          <t>18%</t>
        </is>
      </c>
      <c r="B80" s="13">
        <f>IF(0.18&gt;0.02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+0.02)/(0.18-0.02)/(1+0.18)^20-MAX(0,Assumptions!C32-Assumptions!C27)+MAX(0,Assumptions!C27-Assumptions!C32))*1000/Assumptions!C34,"-")</f>
        <v/>
      </c>
      <c r="C80" s="13">
        <f>IF(0.18&gt;0.025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+0.025)/(0.18-0.025)/(1+0.18)^20-MAX(0,Assumptions!C32-Assumptions!C27)+MAX(0,Assumptions!C27-Assumptions!C32))*1000/Assumptions!C34,"-")</f>
        <v/>
      </c>
      <c r="D80" s="13">
        <f>IF(0.18&gt;0.03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+0.03)/(0.18-0.03)/(1+0.18)^20-MAX(0,Assumptions!C32-Assumptions!C27)+MAX(0,Assumptions!C27-Assumptions!C32))*1000/Assumptions!C34,"-")</f>
        <v/>
      </c>
      <c r="E80" s="13">
        <f>IF(0.18&gt;0.035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+0.035)/(0.18-0.035)/(1+0.18)^20-MAX(0,Assumptions!C32-Assumptions!C27)+MAX(0,Assumptions!C27-Assumptions!C32))*1000/Assumptions!C34,"-")</f>
        <v/>
      </c>
      <c r="F80" s="13">
        <f>IF(0.18&gt;0.04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+0.04)/(0.18-0.04)/(1+0.18)^20-MAX(0,Assumptions!C32-Assumptions!C27)+MAX(0,Assumptions!C27-Assumptions!C32))*1000/Assumptions!C34,"-")</f>
        <v/>
      </c>
      <c r="G80" s="13">
        <f>IF(0.18&gt;0.045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+0.045)/(0.18-0.045)/(1+0.18)^20-MAX(0,Assumptions!C32-Assumptions!C27)+MAX(0,Assumptions!C27-Assumptions!C32))*1000/Assumptions!C34,"-")</f>
        <v/>
      </c>
    </row>
    <row r="81">
      <c r="A81" s="1" t="inlineStr">
        <is>
          <t>20%</t>
        </is>
      </c>
      <c r="B81" s="13">
        <f>IF(0.2&gt;0.02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+0.02)/(0.2-0.02)/(1+0.2)^20-MAX(0,Assumptions!C32-Assumptions!C27)+MAX(0,Assumptions!C27-Assumptions!C32))*1000/Assumptions!C34,"-")</f>
        <v/>
      </c>
      <c r="C81" s="13">
        <f>IF(0.2&gt;0.025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+0.025)/(0.2-0.025)/(1+0.2)^20-MAX(0,Assumptions!C32-Assumptions!C27)+MAX(0,Assumptions!C27-Assumptions!C32))*1000/Assumptions!C34,"-")</f>
        <v/>
      </c>
      <c r="D81" s="13">
        <f>IF(0.2&gt;0.03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+0.03)/(0.2-0.03)/(1+0.2)^20-MAX(0,Assumptions!C32-Assumptions!C27)+MAX(0,Assumptions!C27-Assumptions!C32))*1000/Assumptions!C34,"-")</f>
        <v/>
      </c>
      <c r="E81" s="13">
        <f>IF(0.2&gt;0.035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+0.035)/(0.2-0.035)/(1+0.2)^20-MAX(0,Assumptions!C32-Assumptions!C27)+MAX(0,Assumptions!C27-Assumptions!C32))*1000/Assumptions!C34,"-")</f>
        <v/>
      </c>
      <c r="F81" s="13">
        <f>IF(0.2&gt;0.04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+0.04)/(0.2-0.04)/(1+0.2)^20-MAX(0,Assumptions!C32-Assumptions!C27)+MAX(0,Assumptions!C27-Assumptions!C32))*1000/Assumptions!C34,"-")</f>
        <v/>
      </c>
      <c r="G81" s="13">
        <f>IF(0.2&gt;0.045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+0.045)/(0.2-0.045)/(1+0.2)^20-MAX(0,Assumptions!C32-Assumptions!C27)+MAX(0,Assumptions!C27-Assumptions!C32))*1000/Assumptions!C34,"-")</f>
        <v/>
      </c>
    </row>
    <row r="100">
      <c r="A100" s="1" t="inlineStr">
        <is>
          <t>── SCENARIO ENGINE (helper rows – do not edit) ──</t>
        </is>
      </c>
    </row>
    <row r="101">
      <c r="A101" s="1" t="inlineStr">
        <is>
          <t>Metric</t>
        </is>
      </c>
      <c r="B101" s="1" t="inlineStr">
        <is>
          <t>Base</t>
        </is>
      </c>
      <c r="C101" s="1" t="inlineStr">
        <is>
          <t>Bull</t>
        </is>
      </c>
      <c r="D101" s="1" t="inlineStr">
        <is>
          <t>Bear</t>
        </is>
      </c>
    </row>
    <row r="102">
      <c r="A102" t="inlineStr">
        <is>
          <t>Rev 2026</t>
        </is>
      </c>
      <c r="B102" s="2">
        <f>Assumptions!D6*(1+Assumptions!B40)</f>
        <v/>
      </c>
      <c r="C102" s="2">
        <f>Assumptions!D6*(1+Assumptions!C40)</f>
        <v/>
      </c>
      <c r="D102" s="2">
        <f>Assumptions!D6*(1+Assumptions!D40)</f>
        <v/>
      </c>
    </row>
    <row r="103">
      <c r="A103" t="inlineStr">
        <is>
          <t>Rev 2027</t>
        </is>
      </c>
      <c r="B103" s="2">
        <f>B102*(1+Assumptions!B41)</f>
        <v/>
      </c>
      <c r="C103" s="2">
        <f>C102*(1+Assumptions!C41)</f>
        <v/>
      </c>
      <c r="D103" s="2">
        <f>D102*(1+Assumptions!D41)</f>
        <v/>
      </c>
    </row>
    <row r="104">
      <c r="A104" t="inlineStr">
        <is>
          <t>Rev 2028</t>
        </is>
      </c>
      <c r="B104" s="2">
        <f>B103*(1+Assumptions!B42)</f>
        <v/>
      </c>
      <c r="C104" s="2">
        <f>C103*(1+Assumptions!C42)</f>
        <v/>
      </c>
      <c r="D104" s="2">
        <f>D103*(1+Assumptions!D42)</f>
        <v/>
      </c>
    </row>
    <row r="105">
      <c r="A105" t="inlineStr">
        <is>
          <t>Rev 2029</t>
        </is>
      </c>
      <c r="B105" s="2">
        <f>B104*(1+Assumptions!B43)</f>
        <v/>
      </c>
      <c r="C105" s="2">
        <f>C104*(1+Assumptions!C43)</f>
        <v/>
      </c>
      <c r="D105" s="2">
        <f>D104*(1+Assumptions!D43)</f>
        <v/>
      </c>
    </row>
    <row r="106">
      <c r="A106" t="inlineStr">
        <is>
          <t>Rev 2030</t>
        </is>
      </c>
      <c r="B106" s="2">
        <f>B105*(1+Assumptions!B44)</f>
        <v/>
      </c>
      <c r="C106" s="2">
        <f>C105*(1+Assumptions!C44)</f>
        <v/>
      </c>
      <c r="D106" s="2">
        <f>D105*(1+Assumptions!D44)</f>
        <v/>
      </c>
    </row>
    <row r="107">
      <c r="A107" t="inlineStr">
        <is>
          <t>Rev 2031</t>
        </is>
      </c>
      <c r="B107" s="2">
        <f>B106*(1+Assumptions!B45)</f>
        <v/>
      </c>
      <c r="C107" s="2">
        <f>C106*(1+Assumptions!C45)</f>
        <v/>
      </c>
      <c r="D107" s="2">
        <f>D106*(1+Assumptions!D45)</f>
        <v/>
      </c>
    </row>
    <row r="108">
      <c r="A108" t="inlineStr">
        <is>
          <t>Rev 2032</t>
        </is>
      </c>
      <c r="B108" s="2">
        <f>B107*(1+Assumptions!B45)</f>
        <v/>
      </c>
      <c r="C108" s="2">
        <f>C107*(1+Assumptions!C45)</f>
        <v/>
      </c>
      <c r="D108" s="2">
        <f>D107*(1+Assumptions!D45)</f>
        <v/>
      </c>
    </row>
    <row r="109">
      <c r="A109" t="inlineStr">
        <is>
          <t>Rev 2033</t>
        </is>
      </c>
      <c r="B109" s="2">
        <f>B108*(1+Assumptions!B45)</f>
        <v/>
      </c>
      <c r="C109" s="2">
        <f>C108*(1+Assumptions!C45)</f>
        <v/>
      </c>
      <c r="D109" s="2">
        <f>D108*(1+Assumptions!D45)</f>
        <v/>
      </c>
    </row>
    <row r="110">
      <c r="A110" t="inlineStr">
        <is>
          <t>Rev 2034</t>
        </is>
      </c>
      <c r="B110" s="2">
        <f>B109*(1+Assumptions!B45)</f>
        <v/>
      </c>
      <c r="C110" s="2">
        <f>C109*(1+Assumptions!C45)</f>
        <v/>
      </c>
      <c r="D110" s="2">
        <f>D109*(1+Assumptions!D45)</f>
        <v/>
      </c>
    </row>
    <row r="111">
      <c r="A111" t="inlineStr">
        <is>
          <t>Rev 2035</t>
        </is>
      </c>
      <c r="B111" s="2">
        <f>B110*(1+Assumptions!B45)</f>
        <v/>
      </c>
      <c r="C111" s="2">
        <f>C110*(1+Assumptions!C45)</f>
        <v/>
      </c>
      <c r="D111" s="2">
        <f>D110*(1+Assumptions!D45)</f>
        <v/>
      </c>
    </row>
    <row r="112">
      <c r="A112" t="inlineStr">
        <is>
          <t>Rev 2036</t>
        </is>
      </c>
      <c r="B112" s="2">
        <f>B111*(1+Assumptions!B46)</f>
        <v/>
      </c>
      <c r="C112" s="2">
        <f>C111*(1+Assumptions!C46)</f>
        <v/>
      </c>
      <c r="D112" s="2">
        <f>D111*(1+Assumptions!D46)</f>
        <v/>
      </c>
    </row>
    <row r="113">
      <c r="A113" t="inlineStr">
        <is>
          <t>Rev 2037</t>
        </is>
      </c>
      <c r="B113" s="2">
        <f>B112*(1+Assumptions!B46)</f>
        <v/>
      </c>
      <c r="C113" s="2">
        <f>C112*(1+Assumptions!C46)</f>
        <v/>
      </c>
      <c r="D113" s="2">
        <f>D112*(1+Assumptions!D46)</f>
        <v/>
      </c>
    </row>
    <row r="114">
      <c r="A114" t="inlineStr">
        <is>
          <t>Rev 2038</t>
        </is>
      </c>
      <c r="B114" s="2">
        <f>B113*(1+Assumptions!B46)</f>
        <v/>
      </c>
      <c r="C114" s="2">
        <f>C113*(1+Assumptions!C46)</f>
        <v/>
      </c>
      <c r="D114" s="2">
        <f>D113*(1+Assumptions!D46)</f>
        <v/>
      </c>
    </row>
    <row r="115">
      <c r="A115" t="inlineStr">
        <is>
          <t>Rev 2039</t>
        </is>
      </c>
      <c r="B115" s="2">
        <f>B114*(1+Assumptions!B46)</f>
        <v/>
      </c>
      <c r="C115" s="2">
        <f>C114*(1+Assumptions!C46)</f>
        <v/>
      </c>
      <c r="D115" s="2">
        <f>D114*(1+Assumptions!D46)</f>
        <v/>
      </c>
    </row>
    <row r="116">
      <c r="A116" t="inlineStr">
        <is>
          <t>Rev 2040</t>
        </is>
      </c>
      <c r="B116" s="2">
        <f>B115*(1+Assumptions!B46)</f>
        <v/>
      </c>
      <c r="C116" s="2">
        <f>C115*(1+Assumptions!C46)</f>
        <v/>
      </c>
      <c r="D116" s="2">
        <f>D115*(1+Assumptions!D46)</f>
        <v/>
      </c>
    </row>
    <row r="117">
      <c r="A117" t="inlineStr">
        <is>
          <t>Rev 2041</t>
        </is>
      </c>
      <c r="B117" s="2">
        <f>B116*(1+Assumptions!B47)</f>
        <v/>
      </c>
      <c r="C117" s="2">
        <f>C116*(1+Assumptions!C47)</f>
        <v/>
      </c>
      <c r="D117" s="2">
        <f>D116*(1+Assumptions!D47)</f>
        <v/>
      </c>
    </row>
    <row r="118">
      <c r="A118" t="inlineStr">
        <is>
          <t>Rev 2042</t>
        </is>
      </c>
      <c r="B118" s="2">
        <f>B117*(1+Assumptions!B47)</f>
        <v/>
      </c>
      <c r="C118" s="2">
        <f>C117*(1+Assumptions!C47)</f>
        <v/>
      </c>
      <c r="D118" s="2">
        <f>D117*(1+Assumptions!D47)</f>
        <v/>
      </c>
    </row>
    <row r="119">
      <c r="A119" t="inlineStr">
        <is>
          <t>Rev 2043</t>
        </is>
      </c>
      <c r="B119" s="2">
        <f>B118*(1+Assumptions!B47)</f>
        <v/>
      </c>
      <c r="C119" s="2">
        <f>C118*(1+Assumptions!C47)</f>
        <v/>
      </c>
      <c r="D119" s="2">
        <f>D118*(1+Assumptions!D47)</f>
        <v/>
      </c>
    </row>
    <row r="120">
      <c r="A120" t="inlineStr">
        <is>
          <t>Rev 2044</t>
        </is>
      </c>
      <c r="B120" s="2">
        <f>B119*(1+Assumptions!B47)</f>
        <v/>
      </c>
      <c r="C120" s="2">
        <f>C119*(1+Assumptions!C47)</f>
        <v/>
      </c>
      <c r="D120" s="2">
        <f>D119*(1+Assumptions!D47)</f>
        <v/>
      </c>
    </row>
    <row r="121">
      <c r="A121" t="inlineStr">
        <is>
          <t>Rev 2045</t>
        </is>
      </c>
      <c r="B121" s="2">
        <f>B120*(1+Assumptions!B47)</f>
        <v/>
      </c>
      <c r="C121" s="2">
        <f>C120*(1+Assumptions!C47)</f>
        <v/>
      </c>
      <c r="D121" s="2">
        <f>D120*(1+Assumptions!D47)</f>
        <v/>
      </c>
    </row>
    <row r="122">
      <c r="A122" t="inlineStr">
        <is>
          <t>UFCF 2026</t>
        </is>
      </c>
      <c r="B122" s="2">
        <f>((B102*Assumptions!B54-B102*Assumptions!B61-B102*Assumptions!B68)*(1-Assumptions!B73))+(B102*Assumptions!B69)-(B102*Assumptions!B70)-((B102-Assumptions!D6)*Assumptions!B72)</f>
        <v/>
      </c>
      <c r="C122" s="2">
        <f>((C102*Assumptions!C54-C102*Assumptions!C61-C102*Assumptions!C68)*(1-Assumptions!C73))+(C102*Assumptions!C69)-(C102*Assumptions!C70)-((C102-Assumptions!D6)*Assumptions!C72)</f>
        <v/>
      </c>
      <c r="D122" s="2">
        <f>((D102*Assumptions!D54-D102*Assumptions!D61-D102*Assumptions!D68)*(1-Assumptions!D73))+(D102*Assumptions!D69)-(D102*Assumptions!D70)-((D102-Assumptions!D6)*Assumptions!D72)</f>
        <v/>
      </c>
    </row>
    <row r="123">
      <c r="A123" t="inlineStr">
        <is>
          <t>UFCF 2027</t>
        </is>
      </c>
      <c r="B123" s="2">
        <f>((B103*Assumptions!B55-B103*Assumptions!B62-B103*Assumptions!B68)*(1-Assumptions!B73))+(B103*Assumptions!B69)-(B103*Assumptions!B70)-((B103-B102)*Assumptions!B72)</f>
        <v/>
      </c>
      <c r="C123" s="2">
        <f>((C103*Assumptions!C55-C103*Assumptions!C62-C103*Assumptions!C68)*(1-Assumptions!C73))+(C103*Assumptions!C69)-(C103*Assumptions!C70)-((C103-C102)*Assumptions!C72)</f>
        <v/>
      </c>
      <c r="D123" s="2">
        <f>((D103*Assumptions!D55-D103*Assumptions!D62-D103*Assumptions!D68)*(1-Assumptions!D73))+(D103*Assumptions!D69)-(D103*Assumptions!D70)-((D103-D102)*Assumptions!D72)</f>
        <v/>
      </c>
    </row>
    <row r="124">
      <c r="A124" t="inlineStr">
        <is>
          <t>UFCF 2028</t>
        </is>
      </c>
      <c r="B124" s="2">
        <f>((B104*Assumptions!B56-B104*Assumptions!B63-B104*Assumptions!B68)*(1-Assumptions!B73))+(B104*Assumptions!B69)-(B104*Assumptions!B70)-((B104-B103)*Assumptions!B72)</f>
        <v/>
      </c>
      <c r="C124" s="2">
        <f>((C104*Assumptions!C56-C104*Assumptions!C63-C104*Assumptions!C68)*(1-Assumptions!C73))+(C104*Assumptions!C69)-(C104*Assumptions!C70)-((C104-C103)*Assumptions!C72)</f>
        <v/>
      </c>
      <c r="D124" s="2">
        <f>((D104*Assumptions!D56-D104*Assumptions!D63-D104*Assumptions!D68)*(1-Assumptions!D73))+(D104*Assumptions!D69)-(D104*Assumptions!D70)-((D104-D103)*Assumptions!D72)</f>
        <v/>
      </c>
    </row>
    <row r="125">
      <c r="A125" t="inlineStr">
        <is>
          <t>UFCF 2029</t>
        </is>
      </c>
      <c r="B125" s="2">
        <f>((B105*Assumptions!B57-B105*Assumptions!B64-B105*Assumptions!B68)*(1-Assumptions!B73))+(B105*Assumptions!B69)-(B105*Assumptions!B70)-((B105-B104)*Assumptions!B72)</f>
        <v/>
      </c>
      <c r="C125" s="2">
        <f>((C105*Assumptions!C57-C105*Assumptions!C64-C105*Assumptions!C68)*(1-Assumptions!C73))+(C105*Assumptions!C69)-(C105*Assumptions!C70)-((C105-C104)*Assumptions!C72)</f>
        <v/>
      </c>
      <c r="D125" s="2">
        <f>((D105*Assumptions!D57-D105*Assumptions!D64-D105*Assumptions!D68)*(1-Assumptions!D73))+(D105*Assumptions!D69)-(D105*Assumptions!D70)-((D105-D104)*Assumptions!D72)</f>
        <v/>
      </c>
    </row>
    <row r="126">
      <c r="A126" t="inlineStr">
        <is>
          <t>UFCF 2030</t>
        </is>
      </c>
      <c r="B126" s="2">
        <f>((B106*Assumptions!B58-B106*Assumptions!B65-B106*Assumptions!B68)*(1-Assumptions!B73))+(B106*Assumptions!B69)-(B106*Assumptions!B70)-((B106-B105)*Assumptions!B72)</f>
        <v/>
      </c>
      <c r="C126" s="2">
        <f>((C106*Assumptions!C58-C106*Assumptions!C65-C106*Assumptions!C68)*(1-Assumptions!C73))+(C106*Assumptions!C69)-(C106*Assumptions!C70)-((C106-C105)*Assumptions!C72)</f>
        <v/>
      </c>
      <c r="D126" s="2">
        <f>((D106*Assumptions!D58-D106*Assumptions!D65-D106*Assumptions!D68)*(1-Assumptions!D73))+(D106*Assumptions!D69)-(D106*Assumptions!D70)-((D106-D105)*Assumptions!D72)</f>
        <v/>
      </c>
    </row>
    <row r="127">
      <c r="A127" t="inlineStr">
        <is>
          <t>UFCF 2031</t>
        </is>
      </c>
      <c r="B127" s="2">
        <f>((B107*Assumptions!B59-B107*Assumptions!B66-B107*Assumptions!B68)*(1-Assumptions!B73))+(B107*Assumptions!B69)-(B107*Assumptions!B70)-((B107-B106)*Assumptions!B72)</f>
        <v/>
      </c>
      <c r="C127" s="2">
        <f>((C107*Assumptions!C59-C107*Assumptions!C66-C107*Assumptions!C68)*(1-Assumptions!C73))+(C107*Assumptions!C69)-(C107*Assumptions!C70)-((C107-C106)*Assumptions!C72)</f>
        <v/>
      </c>
      <c r="D127" s="2">
        <f>((D107*Assumptions!D59-D107*Assumptions!D66-D107*Assumptions!D68)*(1-Assumptions!D73))+(D107*Assumptions!D69)-(D107*Assumptions!D70)-((D107-D106)*Assumptions!D72)</f>
        <v/>
      </c>
    </row>
    <row r="128">
      <c r="A128" t="inlineStr">
        <is>
          <t>UFCF 2032</t>
        </is>
      </c>
      <c r="B128" s="2">
        <f>((B108*Assumptions!B59-B108*Assumptions!B66-B108*Assumptions!B68)*(1-Assumptions!B73))+(B108*Assumptions!B69)-(B108*Assumptions!B70)-((B108-B107)*Assumptions!B72)</f>
        <v/>
      </c>
      <c r="C128" s="2">
        <f>((C108*Assumptions!C59-C108*Assumptions!C66-C108*Assumptions!C68)*(1-Assumptions!C73))+(C108*Assumptions!C69)-(C108*Assumptions!C70)-((C108-C107)*Assumptions!C72)</f>
        <v/>
      </c>
      <c r="D128" s="2">
        <f>((D108*Assumptions!D59-D108*Assumptions!D66-D108*Assumptions!D68)*(1-Assumptions!D73))+(D108*Assumptions!D69)-(D108*Assumptions!D70)-((D108-D107)*Assumptions!D72)</f>
        <v/>
      </c>
    </row>
    <row r="129">
      <c r="A129" t="inlineStr">
        <is>
          <t>UFCF 2033</t>
        </is>
      </c>
      <c r="B129" s="2">
        <f>((B109*Assumptions!B59-B109*Assumptions!B66-B109*Assumptions!B68)*(1-Assumptions!B73))+(B109*Assumptions!B69)-(B109*Assumptions!B70)-((B109-B108)*Assumptions!B72)</f>
        <v/>
      </c>
      <c r="C129" s="2">
        <f>((C109*Assumptions!C59-C109*Assumptions!C66-C109*Assumptions!C68)*(1-Assumptions!C73))+(C109*Assumptions!C69)-(C109*Assumptions!C70)-((C109-C108)*Assumptions!C72)</f>
        <v/>
      </c>
      <c r="D129" s="2">
        <f>((D109*Assumptions!D59-D109*Assumptions!D66-D109*Assumptions!D68)*(1-Assumptions!D73))+(D109*Assumptions!D69)-(D109*Assumptions!D70)-((D109-D108)*Assumptions!D72)</f>
        <v/>
      </c>
    </row>
    <row r="130">
      <c r="A130" t="inlineStr">
        <is>
          <t>UFCF 2034</t>
        </is>
      </c>
      <c r="B130" s="2">
        <f>((B110*Assumptions!B59-B110*Assumptions!B66-B110*Assumptions!B68)*(1-Assumptions!B73))+(B110*Assumptions!B69)-(B110*Assumptions!B70)-((B110-B109)*Assumptions!B72)</f>
        <v/>
      </c>
      <c r="C130" s="2">
        <f>((C110*Assumptions!C59-C110*Assumptions!C66-C110*Assumptions!C68)*(1-Assumptions!C73))+(C110*Assumptions!C69)-(C110*Assumptions!C70)-((C110-C109)*Assumptions!C72)</f>
        <v/>
      </c>
      <c r="D130" s="2">
        <f>((D110*Assumptions!D59-D110*Assumptions!D66-D110*Assumptions!D68)*(1-Assumptions!D73))+(D110*Assumptions!D69)-(D110*Assumptions!D70)-((D110-D109)*Assumptions!D72)</f>
        <v/>
      </c>
    </row>
    <row r="131">
      <c r="A131" t="inlineStr">
        <is>
          <t>UFCF 2035</t>
        </is>
      </c>
      <c r="B131" s="2">
        <f>((B111*Assumptions!B59-B111*Assumptions!B66-B111*Assumptions!B68)*(1-Assumptions!B73))+(B111*Assumptions!B69)-(B111*Assumptions!B70)-((B111-B110)*Assumptions!B72)</f>
        <v/>
      </c>
      <c r="C131" s="2">
        <f>((C111*Assumptions!C59-C111*Assumptions!C66-C111*Assumptions!C68)*(1-Assumptions!C73))+(C111*Assumptions!C69)-(C111*Assumptions!C70)-((C111-C110)*Assumptions!C72)</f>
        <v/>
      </c>
      <c r="D131" s="2">
        <f>((D111*Assumptions!D59-D111*Assumptions!D66-D111*Assumptions!D68)*(1-Assumptions!D73))+(D111*Assumptions!D69)-(D111*Assumptions!D70)-((D111-D110)*Assumptions!D72)</f>
        <v/>
      </c>
    </row>
    <row r="132">
      <c r="A132" t="inlineStr">
        <is>
          <t>UFCF 2036</t>
        </is>
      </c>
      <c r="B132" s="2">
        <f>((B112*Assumptions!B60-B112*Assumptions!B67-B112*Assumptions!B68)*(1-Assumptions!B73))+(B112*Assumptions!B69)-(B112*Assumptions!B70)-((B112-B111)*Assumptions!B72)</f>
        <v/>
      </c>
      <c r="C132" s="2">
        <f>((C112*Assumptions!C60-C112*Assumptions!C67-C112*Assumptions!C68)*(1-Assumptions!C73))+(C112*Assumptions!C69)-(C112*Assumptions!C70)-((C112-C111)*Assumptions!C72)</f>
        <v/>
      </c>
      <c r="D132" s="2">
        <f>((D112*Assumptions!D60-D112*Assumptions!D67-D112*Assumptions!D68)*(1-Assumptions!D73))+(D112*Assumptions!D69)-(D112*Assumptions!D70)-((D112-D111)*Assumptions!D72)</f>
        <v/>
      </c>
    </row>
    <row r="133">
      <c r="A133" t="inlineStr">
        <is>
          <t>UFCF 2037</t>
        </is>
      </c>
      <c r="B133" s="2">
        <f>((B113*Assumptions!B60-B113*Assumptions!B67-B113*Assumptions!B68)*(1-Assumptions!B73))+(B113*Assumptions!B69)-(B113*Assumptions!B70)-((B113-B112)*Assumptions!B72)</f>
        <v/>
      </c>
      <c r="C133" s="2">
        <f>((C113*Assumptions!C60-C113*Assumptions!C67-C113*Assumptions!C68)*(1-Assumptions!C73))+(C113*Assumptions!C69)-(C113*Assumptions!C70)-((C113-C112)*Assumptions!C72)</f>
        <v/>
      </c>
      <c r="D133" s="2">
        <f>((D113*Assumptions!D60-D113*Assumptions!D67-D113*Assumptions!D68)*(1-Assumptions!D73))+(D113*Assumptions!D69)-(D113*Assumptions!D70)-((D113-D112)*Assumptions!D72)</f>
        <v/>
      </c>
    </row>
    <row r="134">
      <c r="A134" t="inlineStr">
        <is>
          <t>UFCF 2038</t>
        </is>
      </c>
      <c r="B134" s="2">
        <f>((B114*Assumptions!B60-B114*Assumptions!B67-B114*Assumptions!B68)*(1-Assumptions!B73))+(B114*Assumptions!B69)-(B114*Assumptions!B70)-((B114-B113)*Assumptions!B72)</f>
        <v/>
      </c>
      <c r="C134" s="2">
        <f>((C114*Assumptions!C60-C114*Assumptions!C67-C114*Assumptions!C68)*(1-Assumptions!C73))+(C114*Assumptions!C69)-(C114*Assumptions!C70)-((C114-C113)*Assumptions!C72)</f>
        <v/>
      </c>
      <c r="D134" s="2">
        <f>((D114*Assumptions!D60-D114*Assumptions!D67-D114*Assumptions!D68)*(1-Assumptions!D73))+(D114*Assumptions!D69)-(D114*Assumptions!D70)-((D114-D113)*Assumptions!D72)</f>
        <v/>
      </c>
    </row>
    <row r="135">
      <c r="A135" t="inlineStr">
        <is>
          <t>UFCF 2039</t>
        </is>
      </c>
      <c r="B135" s="2">
        <f>((B115*Assumptions!B60-B115*Assumptions!B67-B115*Assumptions!B68)*(1-Assumptions!B73))+(B115*Assumptions!B69)-(B115*Assumptions!B70)-((B115-B114)*Assumptions!B72)</f>
        <v/>
      </c>
      <c r="C135" s="2">
        <f>((C115*Assumptions!C60-C115*Assumptions!C67-C115*Assumptions!C68)*(1-Assumptions!C73))+(C115*Assumptions!C69)-(C115*Assumptions!C70)-((C115-C114)*Assumptions!C72)</f>
        <v/>
      </c>
      <c r="D135" s="2">
        <f>((D115*Assumptions!D60-D115*Assumptions!D67-D115*Assumptions!D68)*(1-Assumptions!D73))+(D115*Assumptions!D69)-(D115*Assumptions!D70)-((D115-D114)*Assumptions!D72)</f>
        <v/>
      </c>
    </row>
    <row r="136">
      <c r="A136" t="inlineStr">
        <is>
          <t>UFCF 2040</t>
        </is>
      </c>
      <c r="B136" s="2">
        <f>((B116*Assumptions!B60-B116*Assumptions!B67-B116*Assumptions!B68)*(1-Assumptions!B73))+(B116*Assumptions!B69)-(B116*Assumptions!B70)-((B116-B115)*Assumptions!B72)</f>
        <v/>
      </c>
      <c r="C136" s="2">
        <f>((C116*Assumptions!C60-C116*Assumptions!C67-C116*Assumptions!C68)*(1-Assumptions!C73))+(C116*Assumptions!C69)-(C116*Assumptions!C70)-((C116-C115)*Assumptions!C72)</f>
        <v/>
      </c>
      <c r="D136" s="2">
        <f>((D116*Assumptions!D60-D116*Assumptions!D67-D116*Assumptions!D68)*(1-Assumptions!D73))+(D116*Assumptions!D69)-(D116*Assumptions!D70)-((D116-D115)*Assumptions!D72)</f>
        <v/>
      </c>
    </row>
    <row r="137">
      <c r="A137" t="inlineStr">
        <is>
          <t>UFCF 2041</t>
        </is>
      </c>
      <c r="B137" s="2">
        <f>((B117*Assumptions!B60-B117*Assumptions!B67-B117*Assumptions!B68)*(1-Assumptions!B73))+(B117*Assumptions!B69)-(B117*Assumptions!B70)-((B117-B116)*Assumptions!B72)</f>
        <v/>
      </c>
      <c r="C137" s="2">
        <f>((C117*Assumptions!C60-C117*Assumptions!C67-C117*Assumptions!C68)*(1-Assumptions!C73))+(C117*Assumptions!C69)-(C117*Assumptions!C70)-((C117-C116)*Assumptions!C72)</f>
        <v/>
      </c>
      <c r="D137" s="2">
        <f>((D117*Assumptions!D60-D117*Assumptions!D67-D117*Assumptions!D68)*(1-Assumptions!D73))+(D117*Assumptions!D69)-(D117*Assumptions!D70)-((D117-D116)*Assumptions!D72)</f>
        <v/>
      </c>
    </row>
    <row r="138">
      <c r="A138" t="inlineStr">
        <is>
          <t>UFCF 2042</t>
        </is>
      </c>
      <c r="B138" s="2">
        <f>((B118*Assumptions!B60-B118*Assumptions!B67-B118*Assumptions!B68)*(1-Assumptions!B73))+(B118*Assumptions!B69)-(B118*Assumptions!B70)-((B118-B117)*Assumptions!B72)</f>
        <v/>
      </c>
      <c r="C138" s="2">
        <f>((C118*Assumptions!C60-C118*Assumptions!C67-C118*Assumptions!C68)*(1-Assumptions!C73))+(C118*Assumptions!C69)-(C118*Assumptions!C70)-((C118-C117)*Assumptions!C72)</f>
        <v/>
      </c>
      <c r="D138" s="2">
        <f>((D118*Assumptions!D60-D118*Assumptions!D67-D118*Assumptions!D68)*(1-Assumptions!D73))+(D118*Assumptions!D69)-(D118*Assumptions!D70)-((D118-D117)*Assumptions!D72)</f>
        <v/>
      </c>
    </row>
    <row r="139">
      <c r="A139" t="inlineStr">
        <is>
          <t>UFCF 2043</t>
        </is>
      </c>
      <c r="B139" s="2">
        <f>((B119*Assumptions!B60-B119*Assumptions!B67-B119*Assumptions!B68)*(1-Assumptions!B73))+(B119*Assumptions!B69)-(B119*Assumptions!B70)-((B119-B118)*Assumptions!B72)</f>
        <v/>
      </c>
      <c r="C139" s="2">
        <f>((C119*Assumptions!C60-C119*Assumptions!C67-C119*Assumptions!C68)*(1-Assumptions!C73))+(C119*Assumptions!C69)-(C119*Assumptions!C70)-((C119-C118)*Assumptions!C72)</f>
        <v/>
      </c>
      <c r="D139" s="2">
        <f>((D119*Assumptions!D60-D119*Assumptions!D67-D119*Assumptions!D68)*(1-Assumptions!D73))+(D119*Assumptions!D69)-(D119*Assumptions!D70)-((D119-D118)*Assumptions!D72)</f>
        <v/>
      </c>
    </row>
    <row r="140">
      <c r="A140" t="inlineStr">
        <is>
          <t>UFCF 2044</t>
        </is>
      </c>
      <c r="B140" s="2">
        <f>((B120*Assumptions!B60-B120*Assumptions!B67-B120*Assumptions!B68)*(1-Assumptions!B73))+(B120*Assumptions!B69)-(B120*Assumptions!B70)-((B120-B119)*Assumptions!B72)</f>
        <v/>
      </c>
      <c r="C140" s="2">
        <f>((C120*Assumptions!C60-C120*Assumptions!C67-C120*Assumptions!C68)*(1-Assumptions!C73))+(C120*Assumptions!C69)-(C120*Assumptions!C70)-((C120-C119)*Assumptions!C72)</f>
        <v/>
      </c>
      <c r="D140" s="2">
        <f>((D120*Assumptions!D60-D120*Assumptions!D67-D120*Assumptions!D68)*(1-Assumptions!D73))+(D120*Assumptions!D69)-(D120*Assumptions!D70)-((D120-D119)*Assumptions!D72)</f>
        <v/>
      </c>
    </row>
    <row r="141">
      <c r="A141" t="inlineStr">
        <is>
          <t>UFCF 2045</t>
        </is>
      </c>
      <c r="B141" s="2">
        <f>((B121*Assumptions!B60-B121*Assumptions!B67-B121*Assumptions!B68)*(1-Assumptions!B73))+(B121*Assumptions!B69)-(B121*Assumptions!B70)-((B121-B120)*Assumptions!B72)</f>
        <v/>
      </c>
      <c r="C141" s="2">
        <f>((C121*Assumptions!C60-C121*Assumptions!C67-C121*Assumptions!C68)*(1-Assumptions!C73))+(C121*Assumptions!C69)-(C121*Assumptions!C70)-((C121-C120)*Assumptions!C72)</f>
        <v/>
      </c>
      <c r="D141" s="2">
        <f>((D121*Assumptions!D60-D121*Assumptions!D67-D121*Assumptions!D68)*(1-Assumptions!D73))+(D121*Assumptions!D69)-(D121*Assumptions!D70)-((D121-D120)*Assumptions!D72)</f>
        <v/>
      </c>
    </row>
    <row r="142">
      <c r="A142" t="inlineStr">
        <is>
          <t>PV_UFCF 2026</t>
        </is>
      </c>
      <c r="B142" s="2">
        <f>B122/(1+Assumptions!B87)^0.5</f>
        <v/>
      </c>
      <c r="C142" s="2">
        <f>C122/(1+Assumptions!C87)^0.5</f>
        <v/>
      </c>
      <c r="D142" s="2">
        <f>D122/(1+Assumptions!D87)^0.5</f>
        <v/>
      </c>
    </row>
    <row r="143">
      <c r="A143" t="inlineStr">
        <is>
          <t>PV_UFCF 2027</t>
        </is>
      </c>
      <c r="B143" s="2">
        <f>B123/(1+Assumptions!B87)^1.5</f>
        <v/>
      </c>
      <c r="C143" s="2">
        <f>C123/(1+Assumptions!C87)^1.5</f>
        <v/>
      </c>
      <c r="D143" s="2">
        <f>D123/(1+Assumptions!D87)^1.5</f>
        <v/>
      </c>
    </row>
    <row r="144">
      <c r="A144" t="inlineStr">
        <is>
          <t>PV_UFCF 2028</t>
        </is>
      </c>
      <c r="B144" s="2">
        <f>B124/(1+Assumptions!B87)^2.5</f>
        <v/>
      </c>
      <c r="C144" s="2">
        <f>C124/(1+Assumptions!C87)^2.5</f>
        <v/>
      </c>
      <c r="D144" s="2">
        <f>D124/(1+Assumptions!D87)^2.5</f>
        <v/>
      </c>
    </row>
    <row r="145">
      <c r="A145" t="inlineStr">
        <is>
          <t>PV_UFCF 2029</t>
        </is>
      </c>
      <c r="B145" s="2">
        <f>B125/(1+Assumptions!B87)^3.5</f>
        <v/>
      </c>
      <c r="C145" s="2">
        <f>C125/(1+Assumptions!C87)^3.5</f>
        <v/>
      </c>
      <c r="D145" s="2">
        <f>D125/(1+Assumptions!D87)^3.5</f>
        <v/>
      </c>
    </row>
    <row r="146">
      <c r="A146" t="inlineStr">
        <is>
          <t>PV_UFCF 2030</t>
        </is>
      </c>
      <c r="B146" s="2">
        <f>B126/(1+Assumptions!B87)^4.5</f>
        <v/>
      </c>
      <c r="C146" s="2">
        <f>C126/(1+Assumptions!C87)^4.5</f>
        <v/>
      </c>
      <c r="D146" s="2">
        <f>D126/(1+Assumptions!D87)^4.5</f>
        <v/>
      </c>
    </row>
    <row r="147">
      <c r="A147" t="inlineStr">
        <is>
          <t>PV_UFCF 2031</t>
        </is>
      </c>
      <c r="B147" s="2">
        <f>B127/(1+Assumptions!B87)^5.5</f>
        <v/>
      </c>
      <c r="C147" s="2">
        <f>C127/(1+Assumptions!C87)^5.5</f>
        <v/>
      </c>
      <c r="D147" s="2">
        <f>D127/(1+Assumptions!D87)^5.5</f>
        <v/>
      </c>
    </row>
    <row r="148">
      <c r="A148" t="inlineStr">
        <is>
          <t>PV_UFCF 2032</t>
        </is>
      </c>
      <c r="B148" s="2">
        <f>B128/(1+Assumptions!B87)^6.5</f>
        <v/>
      </c>
      <c r="C148" s="2">
        <f>C128/(1+Assumptions!C87)^6.5</f>
        <v/>
      </c>
      <c r="D148" s="2">
        <f>D128/(1+Assumptions!D87)^6.5</f>
        <v/>
      </c>
    </row>
    <row r="149">
      <c r="A149" t="inlineStr">
        <is>
          <t>PV_UFCF 2033</t>
        </is>
      </c>
      <c r="B149" s="2">
        <f>B129/(1+Assumptions!B87)^7.5</f>
        <v/>
      </c>
      <c r="C149" s="2">
        <f>C129/(1+Assumptions!C87)^7.5</f>
        <v/>
      </c>
      <c r="D149" s="2">
        <f>D129/(1+Assumptions!D87)^7.5</f>
        <v/>
      </c>
    </row>
    <row r="150">
      <c r="A150" t="inlineStr">
        <is>
          <t>PV_UFCF 2034</t>
        </is>
      </c>
      <c r="B150" s="2">
        <f>B130/(1+Assumptions!B87)^8.5</f>
        <v/>
      </c>
      <c r="C150" s="2">
        <f>C130/(1+Assumptions!C87)^8.5</f>
        <v/>
      </c>
      <c r="D150" s="2">
        <f>D130/(1+Assumptions!D87)^8.5</f>
        <v/>
      </c>
    </row>
    <row r="151">
      <c r="A151" t="inlineStr">
        <is>
          <t>PV_UFCF 2035</t>
        </is>
      </c>
      <c r="B151" s="2">
        <f>B131/(1+Assumptions!B87)^9.5</f>
        <v/>
      </c>
      <c r="C151" s="2">
        <f>C131/(1+Assumptions!C87)^9.5</f>
        <v/>
      </c>
      <c r="D151" s="2">
        <f>D131/(1+Assumptions!D87)^9.5</f>
        <v/>
      </c>
    </row>
    <row r="152">
      <c r="A152" t="inlineStr">
        <is>
          <t>PV_UFCF 2036</t>
        </is>
      </c>
      <c r="B152" s="2">
        <f>B132/(1+Assumptions!B87)^10.5</f>
        <v/>
      </c>
      <c r="C152" s="2">
        <f>C132/(1+Assumptions!C87)^10.5</f>
        <v/>
      </c>
      <c r="D152" s="2">
        <f>D132/(1+Assumptions!D87)^10.5</f>
        <v/>
      </c>
    </row>
    <row r="153">
      <c r="A153" t="inlineStr">
        <is>
          <t>PV_UFCF 2037</t>
        </is>
      </c>
      <c r="B153" s="2">
        <f>B133/(1+Assumptions!B87)^11.5</f>
        <v/>
      </c>
      <c r="C153" s="2">
        <f>C133/(1+Assumptions!C87)^11.5</f>
        <v/>
      </c>
      <c r="D153" s="2">
        <f>D133/(1+Assumptions!D87)^11.5</f>
        <v/>
      </c>
    </row>
    <row r="154">
      <c r="A154" t="inlineStr">
        <is>
          <t>PV_UFCF 2038</t>
        </is>
      </c>
      <c r="B154" s="2">
        <f>B134/(1+Assumptions!B87)^12.5</f>
        <v/>
      </c>
      <c r="C154" s="2">
        <f>C134/(1+Assumptions!C87)^12.5</f>
        <v/>
      </c>
      <c r="D154" s="2">
        <f>D134/(1+Assumptions!D87)^12.5</f>
        <v/>
      </c>
    </row>
    <row r="155">
      <c r="A155" t="inlineStr">
        <is>
          <t>PV_UFCF 2039</t>
        </is>
      </c>
      <c r="B155" s="2">
        <f>B135/(1+Assumptions!B87)^13.5</f>
        <v/>
      </c>
      <c r="C155" s="2">
        <f>C135/(1+Assumptions!C87)^13.5</f>
        <v/>
      </c>
      <c r="D155" s="2">
        <f>D135/(1+Assumptions!D87)^13.5</f>
        <v/>
      </c>
    </row>
    <row r="156">
      <c r="A156" t="inlineStr">
        <is>
          <t>PV_UFCF 2040</t>
        </is>
      </c>
      <c r="B156" s="2">
        <f>B136/(1+Assumptions!B87)^14.5</f>
        <v/>
      </c>
      <c r="C156" s="2">
        <f>C136/(1+Assumptions!C87)^14.5</f>
        <v/>
      </c>
      <c r="D156" s="2">
        <f>D136/(1+Assumptions!D87)^14.5</f>
        <v/>
      </c>
    </row>
    <row r="157">
      <c r="A157" t="inlineStr">
        <is>
          <t>PV_UFCF 2041</t>
        </is>
      </c>
      <c r="B157" s="2">
        <f>B137/(1+Assumptions!B87)^15.5</f>
        <v/>
      </c>
      <c r="C157" s="2">
        <f>C137/(1+Assumptions!C87)^15.5</f>
        <v/>
      </c>
      <c r="D157" s="2">
        <f>D137/(1+Assumptions!D87)^15.5</f>
        <v/>
      </c>
    </row>
    <row r="158">
      <c r="A158" t="inlineStr">
        <is>
          <t>PV_UFCF 2042</t>
        </is>
      </c>
      <c r="B158" s="2">
        <f>B138/(1+Assumptions!B87)^16.5</f>
        <v/>
      </c>
      <c r="C158" s="2">
        <f>C138/(1+Assumptions!C87)^16.5</f>
        <v/>
      </c>
      <c r="D158" s="2">
        <f>D138/(1+Assumptions!D87)^16.5</f>
        <v/>
      </c>
    </row>
    <row r="159">
      <c r="A159" t="inlineStr">
        <is>
          <t>PV_UFCF 2043</t>
        </is>
      </c>
      <c r="B159" s="2">
        <f>B139/(1+Assumptions!B87)^17.5</f>
        <v/>
      </c>
      <c r="C159" s="2">
        <f>C139/(1+Assumptions!C87)^17.5</f>
        <v/>
      </c>
      <c r="D159" s="2">
        <f>D139/(1+Assumptions!D87)^17.5</f>
        <v/>
      </c>
    </row>
    <row r="160">
      <c r="A160" t="inlineStr">
        <is>
          <t>PV_UFCF 2044</t>
        </is>
      </c>
      <c r="B160" s="2">
        <f>B140/(1+Assumptions!B87)^18.5</f>
        <v/>
      </c>
      <c r="C160" s="2">
        <f>C140/(1+Assumptions!C87)^18.5</f>
        <v/>
      </c>
      <c r="D160" s="2">
        <f>D140/(1+Assumptions!D87)^18.5</f>
        <v/>
      </c>
    </row>
    <row r="161">
      <c r="A161" t="inlineStr">
        <is>
          <t>PV_UFCF 2045</t>
        </is>
      </c>
      <c r="B161" s="2">
        <f>B141/(1+Assumptions!B87)^19.5</f>
        <v/>
      </c>
      <c r="C161" s="2">
        <f>C141/(1+Assumptions!C87)^19.5</f>
        <v/>
      </c>
      <c r="D161" s="2">
        <f>D141/(1+Assumptions!D87)^19.5</f>
        <v/>
      </c>
    </row>
    <row r="162">
      <c r="A162" s="1" t="inlineStr">
        <is>
          <t>Sum PV_UFCF</t>
        </is>
      </c>
      <c r="B162" s="2">
        <f>SUM(B142:B161)</f>
        <v/>
      </c>
      <c r="C162" s="2">
        <f>SUM(C142:C161)</f>
        <v/>
      </c>
      <c r="D162" s="2">
        <f>SUM(D142:D161)</f>
        <v/>
      </c>
    </row>
    <row r="164">
      <c r="A164" s="1" t="inlineStr">
        <is>
          <t>PV of Terminal Value</t>
        </is>
      </c>
      <c r="B164" s="2">
        <f>B141*(1+Assumptions!B92)/(Assumptions!B87-Assumptions!B92)/(1+Assumptions!B87)^20</f>
        <v/>
      </c>
      <c r="C164" s="2">
        <f>C141*(1+Assumptions!C92)/(Assumptions!C87-Assumptions!C92)/(1+Assumptions!C87)^20</f>
        <v/>
      </c>
      <c r="D164" s="2">
        <f>D141*(1+Assumptions!D92)/(Assumptions!D87-Assumptions!D92)/(1+Assumptions!D87)^20</f>
        <v/>
      </c>
    </row>
    <row r="165">
      <c r="A165" s="1" t="inlineStr">
        <is>
          <t>Enterprise Value</t>
        </is>
      </c>
      <c r="B165" s="2">
        <f>B162+B164</f>
        <v/>
      </c>
      <c r="C165" s="2">
        <f>C162+C164</f>
        <v/>
      </c>
      <c r="D165" s="2">
        <f>D162+D164</f>
        <v/>
      </c>
    </row>
    <row r="166">
      <c r="A166" s="1" t="inlineStr">
        <is>
          <t>Equity Value</t>
        </is>
      </c>
      <c r="B166" s="2">
        <f>B165-MAX(0,Assumptions!C32-Assumptions!C27)+MAX(0,Assumptions!C27-Assumptions!C32)</f>
        <v/>
      </c>
      <c r="C166" s="2">
        <f>C165-MAX(0,Assumptions!C32-Assumptions!C27)+MAX(0,Assumptions!C27-Assumptions!C32)</f>
        <v/>
      </c>
      <c r="D166" s="2">
        <f>D165-MAX(0,Assumptions!C32-Assumptions!C27)+MAX(0,Assumptions!C27-Assumptions!C32)</f>
        <v/>
      </c>
    </row>
    <row r="167">
      <c r="A167" s="1" t="inlineStr">
        <is>
          <t>Implied Share Price ($)</t>
        </is>
      </c>
      <c r="B167" s="13">
        <f>IF(Assumptions!C34&gt;0,(B166*1000)/Assumptions!C34,0)</f>
        <v/>
      </c>
      <c r="C167" s="13">
        <f>IF(Assumptions!C34&gt;0,(C166*1000)/Assumptions!C34,0)</f>
        <v/>
      </c>
      <c r="D167" s="13">
        <f>IF(Assumptions!C34&gt;0,(D166*1000)/Assumptions!C34,0)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2026-05-25T18:12:23Z</dcterms:created>
  <dcterms:modified xsi:type="dcterms:W3CDTF">2026-05-25T18:12:23Z</dcterms:modified>
</cp:coreProperties>
</file>